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d.docs.live.net/3cb5479edd82497a/Desktop/Advance Excel/ADVANCE EXCEL/"/>
    </mc:Choice>
  </mc:AlternateContent>
  <xr:revisionPtr revIDLastSave="697" documentId="13_ncr:1_{08525BC3-8A21-4518-A0B9-420AC4BB0E26}" xr6:coauthVersionLast="47" xr6:coauthVersionMax="47" xr10:uidLastSave="{E31014DC-FF4F-43C9-8BDA-4062CFE916C4}"/>
  <bookViews>
    <workbookView xWindow="-108" yWindow="-108" windowWidth="23256" windowHeight="12456" tabRatio="610" firstSheet="1" activeTab="2" xr2:uid="{BECDAA7B-CF1E-4389-861D-910939491ABB}"/>
  </bookViews>
  <sheets>
    <sheet name="Sheet3" sheetId="3" r:id="rId1"/>
    <sheet name="Sheet1" sheetId="1" r:id="rId2"/>
    <sheet name="Dashboard" sheetId="2" r:id="rId3"/>
  </sheets>
  <definedNames>
    <definedName name="_xlchart.v1.0" hidden="1">Sheet3!$G$20:$G$24</definedName>
    <definedName name="_xlchart.v1.1" hidden="1">Sheet3!$H$20:$H$24</definedName>
    <definedName name="_xlchart.v1.2" hidden="1">Sheet3!$J$12:$J$17</definedName>
    <definedName name="_xlchart.v1.3" hidden="1">Sheet3!$K$12:$K$17</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K15" i="3"/>
  <c r="H21" i="3"/>
  <c r="K16" i="3"/>
  <c r="K12" i="3"/>
  <c r="E18" i="3"/>
  <c r="C18" i="3"/>
  <c r="H22" i="3"/>
  <c r="H23" i="3"/>
  <c r="H24" i="3"/>
  <c r="D18" i="3"/>
  <c r="H20" i="3"/>
  <c r="K13" i="3"/>
  <c r="B18" i="3"/>
  <c r="K14" i="3"/>
  <c r="K17" i="3" l="1"/>
</calcChain>
</file>

<file path=xl/sharedStrings.xml><?xml version="1.0" encoding="utf-8"?>
<sst xmlns="http://schemas.openxmlformats.org/spreadsheetml/2006/main" count="4969" uniqueCount="1341">
  <si>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</si>
  <si>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</si>
  <si>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</si>
  <si>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</si>
  <si>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</si>
  <si>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</si>
  <si>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</si>
  <si>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</si>
  <si>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</si>
  <si>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</si>
  <si>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</si>
  <si>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</si>
  <si>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</si>
  <si>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</si>
  <si>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</si>
  <si>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</si>
  <si>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</si>
  <si>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</si>
  <si>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</si>
  <si>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</si>
  <si>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</si>
  <si>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</si>
  <si>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</si>
  <si>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</si>
  <si>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</si>
  <si>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</si>
  <si>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</si>
  <si>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</si>
  <si>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</si>
  <si>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</si>
  <si>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</si>
  <si>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</si>
  <si>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</si>
  <si>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</si>
  <si>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</si>
  <si>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</si>
  <si>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</si>
  <si>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</si>
  <si>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</si>
  <si>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</si>
  <si>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</si>
  <si>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</si>
  <si>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</si>
  <si>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</si>
  <si>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</si>
  <si>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</si>
  <si>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</si>
  <si>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</si>
  <si>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</si>
  <si>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</si>
  <si>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</si>
  <si>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</si>
  <si>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</si>
  <si>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</si>
  <si>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</si>
  <si>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</si>
  <si>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</si>
  <si>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</si>
  <si>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</si>
  <si>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</si>
  <si>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</si>
  <si>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</si>
  <si>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</si>
  <si>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</si>
  <si>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</si>
  <si>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</si>
  <si>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</si>
  <si>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</si>
  <si>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</si>
  <si>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</si>
  <si>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</si>
  <si>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</si>
  <si>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</si>
  <si>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</si>
  <si>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</si>
  <si>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</si>
  <si>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</si>
  <si>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</si>
  <si>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</si>
  <si>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</si>
  <si>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</si>
  <si>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</si>
  <si>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</si>
  <si>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</si>
  <si>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</si>
  <si>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</si>
  <si>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</si>
  <si>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</si>
  <si>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</si>
  <si>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</si>
  <si>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</si>
  <si>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</si>
  <si>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</si>
  <si>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</si>
  <si>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</si>
  <si>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</si>
  <si>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</si>
  <si>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</si>
  <si>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</si>
  <si>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</si>
  <si>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</si>
  <si>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</si>
  <si>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</si>
  <si>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</si>
  <si>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</si>
  <si>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</si>
  <si>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</si>
  <si>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</si>
  <si>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</si>
  <si>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</si>
  <si>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</si>
  <si>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</si>
  <si>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</si>
  <si>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</si>
  <si>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</si>
  <si>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</si>
  <si>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</si>
  <si>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</si>
  <si>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</si>
  <si>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</si>
  <si>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</si>
  <si>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</si>
  <si>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</si>
  <si>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</si>
  <si>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</si>
  <si>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</si>
  <si>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</si>
  <si>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</si>
  <si>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</si>
  <si>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</si>
  <si>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</si>
  <si>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</si>
  <si>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</si>
  <si>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</si>
  <si>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</si>
  <si>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</si>
  <si>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</si>
  <si>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</si>
  <si>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</si>
  <si>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</si>
  <si>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</si>
  <si>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</si>
  <si>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</si>
  <si>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</si>
  <si>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</si>
  <si>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</si>
  <si>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</si>
  <si>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</si>
  <si>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</si>
  <si>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</si>
  <si>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</si>
  <si>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</si>
  <si>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</si>
  <si>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</si>
  <si>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</si>
  <si>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</si>
  <si>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</si>
  <si>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</si>
  <si>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</si>
  <si>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</si>
  <si>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</si>
  <si>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</si>
  <si>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</si>
  <si>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</si>
  <si>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</si>
  <si>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</si>
  <si>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</si>
  <si>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</si>
  <si>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</si>
  <si>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</si>
  <si>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</si>
  <si>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</si>
  <si>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</si>
  <si>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</si>
  <si>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</si>
  <si>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</si>
  <si>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</si>
  <si>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</si>
  <si>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</si>
  <si>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</si>
  <si>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</si>
  <si>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</si>
  <si>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</si>
  <si>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</si>
  <si>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</si>
  <si>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</si>
  <si>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</si>
  <si>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</si>
  <si>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</si>
  <si>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</si>
  <si>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</si>
  <si>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</si>
  <si>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</si>
  <si>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</si>
  <si>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</si>
  <si>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</si>
  <si>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</si>
  <si>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</si>
  <si>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</si>
  <si>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</si>
  <si>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</si>
  <si>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</si>
  <si>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</si>
  <si>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</si>
  <si>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</si>
  <si>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</si>
  <si>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</si>
  <si>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</si>
  <si>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</si>
  <si>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</si>
  <si>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</si>
  <si>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</si>
  <si>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</si>
  <si>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</si>
  <si>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</si>
  <si>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</si>
  <si>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</si>
  <si>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</si>
  <si>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</si>
  <si>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</si>
  <si>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</si>
  <si>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</si>
  <si>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</si>
  <si>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</si>
  <si>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</si>
  <si>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</si>
  <si>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</si>
  <si>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</si>
  <si>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</si>
  <si>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</si>
  <si>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</si>
  <si>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</si>
  <si>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</si>
  <si>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</si>
  <si>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</si>
  <si>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</si>
  <si>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</si>
  <si>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</si>
  <si>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</si>
  <si>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</si>
  <si>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</si>
  <si>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</si>
  <si>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</si>
  <si>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</si>
  <si>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</si>
  <si>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</si>
  <si>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</si>
  <si>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</si>
  <si>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</si>
  <si>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</si>
  <si>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</si>
  <si>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</si>
  <si>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</si>
  <si>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</si>
  <si>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</si>
  <si>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</si>
  <si>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</si>
  <si>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</si>
  <si>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</si>
  <si>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</si>
  <si>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</si>
  <si>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</si>
  <si>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</si>
  <si>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</si>
  <si>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</si>
  <si>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</si>
  <si>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</si>
  <si>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</si>
  <si>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</si>
  <si>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</si>
  <si>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</si>
  <si>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</si>
  <si>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</si>
  <si>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</si>
  <si>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</si>
  <si>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</si>
  <si>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</si>
  <si>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</si>
  <si>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</si>
  <si>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</si>
  <si>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</si>
  <si>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</si>
  <si>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</si>
  <si>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</si>
  <si>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</si>
  <si>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</si>
  <si>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</si>
  <si>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</si>
  <si>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</si>
  <si>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</si>
  <si>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</si>
  <si>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</si>
  <si>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</si>
  <si>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</si>
  <si>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</si>
  <si>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</si>
  <si>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</si>
  <si>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</si>
  <si>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</si>
  <si>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</si>
  <si>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</si>
  <si>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</si>
  <si>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</si>
  <si>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</si>
  <si>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</si>
  <si>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</si>
  <si>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</si>
  <si>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</si>
  <si>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</si>
  <si>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</si>
  <si>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</si>
  <si>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</si>
  <si>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</si>
  <si>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</si>
  <si>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</si>
  <si>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</si>
  <si>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</si>
  <si>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</si>
  <si>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</si>
  <si>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</si>
  <si>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</si>
  <si>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</si>
  <si>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</si>
  <si>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</si>
  <si>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</si>
  <si>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</si>
  <si>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</si>
  <si>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</si>
  <si>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</si>
  <si>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</si>
  <si>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</si>
  <si>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</si>
  <si>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</si>
  <si>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</si>
  <si>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</si>
  <si>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</si>
  <si>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</si>
  <si>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</si>
  <si>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</si>
  <si>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</si>
  <si>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</si>
  <si>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</si>
  <si>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</si>
  <si>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</si>
  <si>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</si>
  <si>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</si>
  <si>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</si>
  <si>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</si>
  <si>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</si>
  <si>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</si>
  <si>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</si>
  <si>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</si>
  <si>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</si>
  <si>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</si>
  <si>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</si>
  <si>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</si>
  <si>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</si>
  <si>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</si>
  <si>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</si>
  <si>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</si>
  <si>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</si>
  <si>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</si>
  <si>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</si>
  <si>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</si>
  <si>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</si>
  <si>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</si>
  <si>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</si>
  <si>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</si>
  <si>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</si>
  <si>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</si>
  <si>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</si>
  <si>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</si>
  <si>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</si>
  <si>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</si>
  <si>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</si>
  <si>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</si>
  <si>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</si>
  <si>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</si>
  <si>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</si>
  <si>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</si>
  <si>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</si>
  <si>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</si>
  <si>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</si>
  <si>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</si>
  <si>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</si>
  <si>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</si>
  <si>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</si>
  <si>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</si>
  <si>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</si>
  <si>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</si>
  <si>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</si>
  <si>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</si>
  <si>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</si>
  <si>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</si>
  <si>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</si>
  <si>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</si>
  <si>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</si>
  <si>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</si>
  <si>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</si>
  <si>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</si>
  <si>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</si>
  <si>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</si>
  <si>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</si>
  <si>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</si>
  <si>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</si>
  <si>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</si>
  <si>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</si>
  <si>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</si>
  <si>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</si>
  <si>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</si>
  <si>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</si>
  <si>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</si>
  <si>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</si>
  <si>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</si>
  <si>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</si>
  <si>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</si>
  <si>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</si>
  <si>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</si>
  <si>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</si>
  <si>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</si>
  <si>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</si>
  <si>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</si>
  <si>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</si>
  <si>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</si>
  <si>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</si>
  <si>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</si>
  <si>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</si>
  <si>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</si>
  <si>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</si>
  <si>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</si>
  <si>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</si>
  <si>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</si>
  <si>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</si>
  <si>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</si>
  <si>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</si>
  <si>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</si>
  <si>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</si>
  <si>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</si>
  <si>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</si>
  <si>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</si>
  <si>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</si>
  <si>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</si>
  <si>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</si>
  <si>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</si>
  <si>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</si>
  <si>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</si>
  <si>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</si>
  <si>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</si>
  <si>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</si>
  <si>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</si>
  <si>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</si>
  <si>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</si>
  <si>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</si>
  <si>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</si>
  <si>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</si>
  <si>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</si>
  <si>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</si>
  <si>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</si>
  <si>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</si>
  <si>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</si>
  <si>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</si>
  <si>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</si>
  <si>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</si>
  <si>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</si>
  <si>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</si>
  <si>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</si>
  <si>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</si>
  <si>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</si>
  <si>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</si>
  <si>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</si>
  <si>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</si>
  <si>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</si>
  <si>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</si>
  <si>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</si>
  <si>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</si>
  <si>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</si>
  <si>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</si>
  <si>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</si>
  <si>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</si>
  <si>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</si>
  <si>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</si>
  <si>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</si>
  <si>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</si>
  <si>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</si>
  <si>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</si>
  <si>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</si>
  <si>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</si>
  <si>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</si>
  <si>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</si>
  <si>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</si>
  <si>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</si>
  <si>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</si>
  <si>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</si>
  <si>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</si>
  <si>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</si>
  <si>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</si>
  <si>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</si>
  <si>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</si>
  <si>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</si>
  <si>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</si>
  <si>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</si>
  <si>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</si>
  <si>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</si>
  <si>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</si>
  <si>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</si>
  <si>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</si>
  <si>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</si>
  <si>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</si>
  <si>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</si>
  <si>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</si>
  <si>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</si>
  <si>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</si>
  <si>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</si>
  <si>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</si>
  <si>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</si>
  <si>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</si>
  <si>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</si>
  <si>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</si>
  <si>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</si>
  <si>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</si>
  <si>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</si>
  <si>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</si>
  <si>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</si>
  <si>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</si>
  <si>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</si>
  <si>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</si>
  <si>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</si>
  <si>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</si>
  <si>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</si>
  <si>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</si>
  <si>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</si>
  <si>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</si>
  <si>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</si>
  <si>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</si>
  <si>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</si>
  <si>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</si>
  <si>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</si>
  <si>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</si>
  <si>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</si>
  <si>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</si>
  <si>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</si>
  <si>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</si>
  <si>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</si>
  <si>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</si>
  <si>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</si>
  <si>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</si>
  <si>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</si>
  <si>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</si>
  <si>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</si>
  <si>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</si>
  <si>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</si>
  <si>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</si>
  <si>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</si>
  <si>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</si>
  <si>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</si>
  <si>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</si>
  <si>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</si>
  <si>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</si>
  <si>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</si>
  <si>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</si>
  <si>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</si>
  <si>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</si>
  <si>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</si>
  <si>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</si>
  <si>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</si>
  <si>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</si>
  <si>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</si>
  <si>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</si>
  <si>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</si>
  <si>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</si>
  <si>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</si>
  <si>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</si>
  <si>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</si>
  <si>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</si>
  <si>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</si>
  <si>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</si>
  <si>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</si>
  <si>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</si>
  <si>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</si>
  <si>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</si>
  <si>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</si>
  <si>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</si>
  <si>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</si>
  <si>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</si>
  <si>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</si>
  <si>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</si>
  <si>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</si>
  <si>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</si>
  <si>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</si>
  <si>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</si>
  <si>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</si>
  <si>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</si>
  <si>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</si>
  <si>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</si>
  <si>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</si>
  <si>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</si>
  <si>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</si>
  <si>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</si>
  <si>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</si>
  <si>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</si>
  <si>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</si>
  <si>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</si>
  <si>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</si>
  <si>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</si>
  <si>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</si>
  <si>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</si>
  <si>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</si>
  <si>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</si>
  <si>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</si>
  <si>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</si>
  <si>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</si>
  <si>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</si>
  <si>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</si>
  <si>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</si>
  <si>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</si>
  <si>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</si>
  <si>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</si>
  <si>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</si>
  <si>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</si>
  <si>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</si>
  <si>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</si>
  <si>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</si>
  <si>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</si>
  <si>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</si>
  <si>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</si>
  <si>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</si>
  <si>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</si>
  <si>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</si>
  <si>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</si>
  <si>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</si>
  <si>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</si>
  <si>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</si>
  <si>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</si>
  <si>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</si>
  <si>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</si>
  <si>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</si>
  <si>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</si>
  <si>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</si>
  <si>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</si>
  <si>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</si>
  <si>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</si>
  <si>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</si>
  <si>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</si>
  <si>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</si>
  <si>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</si>
  <si>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</si>
  <si>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</si>
  <si>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</si>
  <si>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</si>
  <si>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</si>
  <si>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</si>
  <si>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</si>
  <si>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</si>
  <si>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</si>
  <si>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</si>
  <si>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</si>
  <si>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</si>
  <si>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</si>
  <si>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</si>
  <si>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</si>
  <si>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</si>
  <si>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</si>
  <si>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</si>
  <si>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</si>
  <si>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</si>
  <si>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</si>
  <si>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</si>
  <si>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</si>
  <si>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</si>
  <si>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</si>
  <si>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</si>
  <si>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</si>
  <si>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</si>
  <si>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</si>
  <si>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</si>
  <si>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</si>
  <si>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</si>
  <si>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</si>
  <si>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</si>
  <si>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</si>
  <si>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</si>
  <si>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</si>
  <si>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</si>
  <si>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</si>
  <si>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</si>
  <si>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</si>
  <si>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</si>
  <si>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</si>
  <si>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</si>
  <si>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</si>
  <si>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</si>
  <si>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</si>
  <si>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</si>
  <si>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</si>
  <si>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</si>
  <si>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</si>
  <si>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</si>
  <si>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</si>
  <si>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</si>
  <si>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</si>
  <si>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</si>
  <si>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</si>
  <si>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</si>
  <si>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</si>
  <si>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</si>
  <si>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</si>
  <si>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</si>
  <si>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</si>
  <si>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</si>
  <si>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</si>
  <si>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</si>
  <si>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</si>
  <si>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</si>
  <si>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</si>
  <si>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</si>
  <si>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</si>
  <si>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</si>
  <si>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</si>
  <si>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</si>
  <si>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</si>
  <si>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</si>
  <si>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</si>
  <si>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</si>
  <si>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</si>
  <si>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</si>
  <si>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</si>
  <si>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</si>
  <si>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</si>
  <si>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</si>
  <si>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</si>
  <si>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</si>
  <si>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</si>
  <si>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</si>
  <si>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</si>
  <si>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</si>
  <si>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</si>
  <si>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</si>
  <si>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</si>
  <si>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</si>
  <si>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</si>
  <si>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</si>
  <si>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</si>
  <si>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</si>
  <si>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</si>
  <si>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</si>
  <si>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</si>
  <si>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</si>
  <si>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</si>
  <si>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</si>
  <si>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</si>
  <si>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</si>
  <si>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</si>
  <si>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</si>
  <si>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</si>
  <si>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</si>
  <si>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</si>
  <si>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</si>
  <si>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</si>
  <si>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</si>
  <si>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</si>
  <si>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</si>
  <si>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</si>
  <si>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</si>
  <si>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</si>
  <si>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</si>
  <si>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</si>
  <si>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</si>
  <si>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</si>
  <si>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</si>
  <si>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</si>
  <si>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</si>
  <si>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</si>
  <si>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</si>
  <si>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</si>
  <si>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</si>
  <si>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</si>
  <si>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</si>
  <si>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</si>
  <si>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</si>
  <si>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</si>
  <si>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</si>
  <si>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</si>
  <si>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</si>
  <si>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</si>
  <si>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</si>
  <si>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</si>
  <si>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</si>
  <si>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</si>
  <si>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</si>
  <si>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</si>
  <si>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</si>
  <si>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</si>
  <si>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</si>
  <si>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</si>
  <si>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</si>
  <si>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</si>
  <si>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</si>
  <si>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</si>
  <si>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</si>
  <si>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</si>
  <si>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</si>
  <si>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</si>
  <si>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</si>
  <si>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</si>
  <si>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</si>
  <si>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</si>
  <si>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</si>
  <si>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</si>
  <si>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</si>
  <si>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</si>
  <si>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</si>
  <si>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</si>
  <si>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</si>
  <si>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</si>
  <si>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</si>
  <si>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</si>
  <si>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</si>
  <si>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</si>
  <si>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</si>
  <si>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</si>
  <si>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</si>
  <si>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</si>
  <si>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</si>
  <si>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</si>
  <si>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</si>
  <si>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</si>
  <si>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</si>
  <si>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</si>
  <si>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</si>
  <si>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</si>
  <si>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</si>
  <si>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</si>
  <si>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</si>
  <si>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</si>
  <si>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</si>
  <si>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</si>
  <si>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</si>
  <si>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</si>
  <si>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</si>
  <si>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</si>
  <si>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</si>
  <si>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</si>
  <si>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</si>
  <si>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</si>
  <si>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</si>
  <si>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</si>
  <si>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</si>
  <si>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</si>
  <si>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</si>
  <si>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</si>
  <si>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</si>
  <si>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</si>
  <si>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</si>
  <si>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</si>
  <si>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</si>
  <si>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</si>
  <si>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</si>
  <si>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</si>
  <si>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</si>
  <si>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</si>
  <si>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</si>
  <si>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</si>
  <si>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</si>
  <si>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</si>
  <si>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</si>
  <si>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</si>
  <si>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</si>
  <si>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</si>
  <si>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</si>
  <si>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</si>
  <si>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</si>
  <si>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</si>
  <si>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</si>
  <si>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</si>
  <si>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</si>
  <si>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</si>
  <si>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</si>
  <si>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</si>
  <si>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</si>
  <si>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</si>
  <si>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</si>
  <si>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</si>
  <si>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</si>
  <si>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</si>
  <si>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</si>
  <si>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</si>
  <si>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</si>
  <si>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</si>
  <si>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</si>
  <si>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</si>
  <si>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</si>
  <si>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</si>
  <si>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</si>
  <si>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</si>
  <si>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</si>
  <si>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</si>
  <si>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</si>
  <si>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</si>
  <si>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</si>
  <si>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</si>
  <si>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</si>
  <si>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</si>
  <si>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</si>
  <si>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</si>
  <si>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</si>
  <si>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</si>
  <si>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</si>
  <si>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</si>
  <si>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</si>
  <si>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</si>
  <si>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</si>
  <si>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</si>
  <si>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</si>
  <si>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</si>
  <si>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</si>
  <si>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</si>
  <si>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</si>
  <si>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</si>
  <si>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</si>
  <si>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</si>
  <si>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</si>
  <si>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</si>
  <si>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</si>
  <si>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</si>
  <si>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</si>
  <si>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</si>
  <si>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</si>
  <si>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</si>
  <si>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</si>
  <si>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</si>
  <si>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</si>
  <si>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</si>
  <si>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</si>
  <si>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</si>
  <si>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</si>
  <si>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</si>
  <si>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</si>
  <si>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</si>
  <si>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</si>
  <si>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</si>
  <si>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</si>
  <si>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</si>
  <si>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</si>
  <si>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</si>
  <si>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</si>
  <si>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</si>
  <si>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</si>
  <si>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</si>
  <si>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</si>
  <si>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</si>
  <si>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</si>
  <si>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</si>
  <si>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</si>
  <si>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</si>
  <si>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</si>
  <si>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</si>
  <si>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</si>
  <si>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</si>
  <si>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</si>
  <si>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</si>
  <si>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</si>
  <si>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</si>
  <si>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</si>
  <si>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</si>
  <si>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</si>
  <si>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</si>
  <si>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</si>
  <si>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</si>
  <si>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</si>
  <si>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</si>
  <si>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</si>
  <si>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</si>
  <si>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</si>
  <si>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</si>
  <si>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</si>
  <si>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</si>
  <si>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</si>
  <si>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</si>
  <si>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</si>
  <si>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</si>
  <si>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</si>
  <si>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</si>
  <si>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</si>
  <si>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</si>
  <si>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</si>
  <si>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</si>
  <si>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</si>
  <si>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</si>
  <si>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</si>
  <si>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</si>
  <si>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</si>
  <si>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</si>
  <si>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</si>
  <si>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</si>
  <si>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</si>
  <si>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</si>
  <si>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</si>
  <si>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</si>
  <si>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</si>
  <si>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</si>
  <si>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</si>
  <si>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</si>
  <si>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</si>
  <si>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</si>
  <si>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</si>
  <si>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</si>
  <si>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</si>
  <si>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</si>
  <si>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</si>
  <si>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</si>
  <si>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</si>
  <si>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</si>
  <si>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</si>
  <si>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</si>
  <si>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</si>
  <si>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</si>
  <si>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</si>
  <si>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</si>
  <si>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</si>
  <si>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</si>
  <si>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</si>
  <si>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</si>
  <si>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</si>
  <si>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</si>
  <si>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</si>
  <si>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</si>
  <si>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</si>
  <si>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</si>
  <si>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</si>
  <si>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</si>
  <si>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</si>
  <si>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</si>
  <si>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</si>
  <si>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</si>
  <si>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</si>
  <si>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</si>
  <si>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</si>
  <si>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</si>
  <si>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</si>
  <si>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</si>
  <si>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</si>
  <si>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</si>
  <si>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</si>
  <si>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</si>
  <si>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</si>
  <si>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</si>
  <si>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</si>
  <si>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</si>
  <si>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</si>
  <si>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</si>
  <si>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</si>
  <si>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</si>
  <si>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</si>
  <si>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</si>
  <si>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</si>
  <si>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</si>
  <si>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</si>
  <si>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</si>
  <si>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</si>
  <si>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</si>
  <si>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</si>
  <si>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</si>
  <si>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</si>
  <si>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</si>
  <si>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</si>
  <si>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</si>
  <si>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</si>
  <si>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</si>
  <si>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</si>
  <si>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</si>
  <si>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</si>
  <si>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</si>
  <si>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</si>
  <si>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</si>
  <si>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</si>
  <si>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</si>
  <si>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</si>
  <si>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</si>
  <si>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</si>
  <si>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</si>
  <si>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</si>
  <si>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</si>
  <si>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</si>
  <si>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</si>
  <si>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</si>
  <si>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</si>
  <si>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</si>
  <si>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</si>
  <si>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</si>
  <si>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</si>
  <si>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</si>
  <si>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</si>
  <si>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</si>
  <si>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</si>
  <si>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</si>
  <si>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</si>
  <si>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</si>
  <si>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</si>
  <si>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</si>
  <si>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</si>
  <si>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</si>
  <si>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</si>
  <si>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</si>
  <si>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</si>
  <si>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</si>
  <si>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</si>
  <si>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</si>
  <si>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</si>
  <si>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</si>
  <si>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</si>
  <si>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</si>
  <si>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</si>
  <si>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</si>
  <si>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</si>
  <si>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</si>
  <si>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</si>
  <si>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</si>
  <si>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</si>
  <si>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</si>
  <si>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</si>
  <si>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</si>
  <si>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</si>
  <si>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</si>
  <si>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</si>
  <si>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</si>
  <si>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</si>
  <si>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</si>
  <si>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</si>
  <si>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</si>
  <si>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</si>
  <si>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</si>
  <si>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</si>
  <si>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</si>
  <si>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</si>
  <si>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</si>
  <si>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</si>
  <si>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</si>
  <si>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</si>
  <si>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</si>
  <si>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</si>
  <si>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</si>
  <si>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</si>
  <si>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</si>
  <si>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</si>
  <si>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</si>
  <si>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</si>
  <si>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</si>
  <si>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</si>
  <si>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</si>
  <si>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</si>
  <si>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</si>
  <si>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</si>
  <si>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</si>
  <si>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</si>
  <si>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</si>
  <si>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</si>
  <si>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</si>
  <si>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</si>
  <si>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</si>
  <si>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</si>
  <si>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</si>
  <si>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</si>
  <si>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</si>
  <si>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</si>
  <si>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</si>
  <si>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</si>
  <si>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</si>
  <si>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</si>
  <si>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</si>
  <si>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</si>
  <si>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</si>
  <si>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</si>
  <si>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</si>
  <si>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</si>
  <si>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</si>
  <si>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</si>
  <si>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</si>
  <si>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</si>
  <si>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</si>
  <si>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</si>
  <si>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</si>
  <si>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</si>
  <si>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</si>
  <si>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</si>
  <si>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</si>
  <si>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</si>
  <si>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</si>
  <si>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</si>
  <si>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</si>
  <si>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</si>
  <si>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</si>
  <si>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</si>
  <si>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</si>
  <si>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</si>
  <si>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</si>
  <si>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</si>
  <si>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</si>
  <si>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</si>
  <si>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</si>
  <si>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</si>
  <si>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</si>
  <si>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</si>
  <si>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</si>
  <si>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</si>
  <si>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</si>
  <si>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</si>
  <si>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</si>
  <si>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</si>
  <si>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</si>
  <si>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</si>
  <si>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</si>
  <si>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</si>
  <si>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</si>
  <si>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</si>
  <si>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</si>
  <si>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</si>
  <si>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</si>
  <si>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</si>
  <si>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</si>
  <si>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</si>
  <si>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</si>
  <si>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</si>
  <si>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</si>
  <si>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</si>
  <si>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</si>
  <si>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</si>
  <si>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</si>
  <si>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</si>
  <si>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</si>
  <si>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</si>
  <si>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</si>
  <si>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</si>
  <si>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</si>
  <si>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</si>
  <si>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</si>
  <si>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</si>
  <si>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</si>
  <si>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</si>
  <si>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</si>
  <si>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</si>
  <si>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</si>
  <si>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</si>
  <si>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</si>
  <si>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</si>
  <si>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</si>
  <si>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</si>
  <si>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</si>
  <si>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</si>
  <si>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</si>
  <si>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</si>
  <si>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</si>
  <si>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</si>
  <si>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</si>
  <si>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</si>
  <si>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</si>
  <si>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</si>
  <si>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</si>
  <si>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</si>
  <si>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</si>
  <si>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</si>
  <si>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</si>
  <si>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</si>
  <si>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</si>
  <si>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</si>
  <si>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</si>
  <si>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</si>
  <si>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</si>
  <si>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</si>
  <si>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</si>
  <si>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</si>
  <si>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</si>
  <si>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</si>
  <si>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</si>
  <si>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</si>
  <si>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</si>
  <si>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</si>
  <si>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</si>
  <si>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</si>
  <si>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</si>
  <si>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</si>
  <si>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</si>
  <si>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</si>
  <si>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</si>
  <si>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</si>
  <si>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</si>
  <si>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</si>
  <si>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</si>
  <si>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</si>
  <si>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</si>
  <si>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</si>
  <si>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</si>
  <si>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</si>
  <si>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</si>
  <si>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</si>
  <si>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</si>
  <si>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</si>
  <si>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</si>
  <si>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</si>
  <si>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</si>
  <si>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</si>
  <si>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</si>
  <si>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</si>
  <si>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</si>
  <si>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</si>
  <si>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</si>
  <si>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</si>
  <si>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</si>
  <si>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</si>
  <si>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</si>
  <si>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</si>
  <si>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</si>
  <si>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</si>
  <si>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</si>
  <si>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</si>
  <si>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</si>
  <si>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</si>
  <si>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</si>
  <si>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</si>
  <si>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</si>
  <si>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</si>
  <si>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</si>
  <si>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</si>
  <si>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</si>
  <si>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</si>
  <si>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</si>
  <si>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</si>
  <si>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</si>
  <si>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</si>
  <si>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</si>
  <si>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</si>
  <si>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</si>
  <si>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</si>
  <si>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</si>
  <si>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</si>
  <si>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</si>
  <si>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</si>
  <si>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</si>
  <si>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</si>
  <si>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Qty</t>
  </si>
  <si>
    <t>Sum of Amount</t>
  </si>
  <si>
    <t>Sum of Profit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</si>
</sst>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18">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 fillId="3" borderId="7" xfId="0" applyFont="1" applyFill="1" applyBorder="1" applyAlignment="1">
      <alignment horizontal="left"/>
    </xf>
  </cellXfs>
  <cellStyles count="1">
    <cellStyle name="Normal" xfId="0" builtinId="0"/>
  </cellStyles>
  <dxfs count="2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quot;₹&quot;\ #,##0"/>
    </dxf>
    <dxf>
      <numFmt numFmtId="1" formatCode="0"/>
    </dxf>
    <dxf>
      <numFmt numFmtId="1" formatCode="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DYNAMIC SALES REPORT DASHBOARD.xlsx]Sheet3!PivotTable2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267758196892"/>
          <c:y val="4.9488188976377953E-2"/>
          <c:w val="0.80894388201474821"/>
          <c:h val="0.92499662542182226"/>
        </c:manualLayout>
      </c:layout>
      <c:barChart>
        <c:barDir val="bar"/>
        <c:grouping val="clustered"/>
        <c:varyColors val="0"/>
        <c:ser>
          <c:idx val="0"/>
          <c:order val="0"/>
          <c:tx>
            <c:strRef>
              <c:f>Sheet3!$H$3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Sheet3!$G$4:$G$8</c:f>
              <c:strCache>
                <c:ptCount val="4"/>
                <c:pt idx="0">
                  <c:v>Qtr1</c:v>
                </c:pt>
                <c:pt idx="1">
                  <c:v>Qtr2</c:v>
                </c:pt>
                <c:pt idx="2">
                  <c:v>Qtr3</c:v>
                </c:pt>
                <c:pt idx="3">
                  <c:v>Qtr4</c:v>
                </c:pt>
              </c:strCache>
            </c:strRef>
          </c:cat>
          <c:val>
            <c:numRef>
              <c:f>Sheet3!$H$4:$H$8</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38A5-4C5D-AF69-4AEF59180D74}"/>
            </c:ext>
          </c:extLst>
        </c:ser>
        <c:dLbls>
          <c:dLblPos val="outEnd"/>
          <c:showLegendKey val="0"/>
          <c:showVal val="1"/>
          <c:showCatName val="0"/>
          <c:showSerName val="0"/>
          <c:showPercent val="0"/>
          <c:showBubbleSize val="0"/>
        </c:dLbls>
        <c:gapWidth val="182"/>
        <c:axId val="579756687"/>
        <c:axId val="579757167"/>
      </c:barChart>
      <c:catAx>
        <c:axId val="57975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79757167"/>
        <c:crosses val="autoZero"/>
        <c:auto val="1"/>
        <c:lblAlgn val="ctr"/>
        <c:lblOffset val="100"/>
        <c:noMultiLvlLbl val="0"/>
      </c:catAx>
      <c:valAx>
        <c:axId val="579757167"/>
        <c:scaling>
          <c:orientation val="minMax"/>
        </c:scaling>
        <c:delete val="1"/>
        <c:axPos val="b"/>
        <c:numFmt formatCode="0" sourceLinked="1"/>
        <c:majorTickMark val="out"/>
        <c:minorTickMark val="none"/>
        <c:tickLblPos val="nextTo"/>
        <c:crossAx val="5797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7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6FE891D8-4763-4F0D-9926-D18CBC65883E}">
          <cx:dataLabels>
            <cx:txPr>
              <a:bodyPr spcFirstLastPara="1" vertOverflow="ellipsis" horzOverflow="overflow" wrap="square" lIns="0" tIns="0" rIns="0" bIns="0" anchor="ctr" anchorCtr="1"/>
              <a:lstStyle/>
              <a:p>
                <a:pPr algn="ctr" rtl="0">
                  <a:defRPr sz="700" b="1" i="0" baseline="0"/>
                </a:pPr>
                <a:endParaRPr lang="en-US" sz="7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connectorLines="1"/>
            <cx:subtotals>
              <cx:idx val="5"/>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3F070F5-ECDB-4E8E-9FAB-873E2BBEE5D9}">
          <cx:dataLabels pos="in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10" Type="http://schemas.microsoft.com/office/2014/relationships/chartEx" Target="../charts/chartEx2.xml"/><Relationship Id="rId4" Type="http://schemas.openxmlformats.org/officeDocument/2006/relationships/image" Target="../media/image4.emf"/><Relationship Id="rId9" Type="http://schemas.microsoft.com/office/2014/relationships/chartEx" Target="../charts/chartEx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xdr:col>
      <xdr:colOff>236220</xdr:colOff>
      <xdr:row>1</xdr:row>
      <xdr:rowOff>16596</xdr:rowOff>
    </xdr:from>
    <xdr:to>
      <xdr:col>20</xdr:col>
      <xdr:colOff>495300</xdr:colOff>
      <xdr:row>34</xdr:row>
      <xdr:rowOff>7620</xdr:rowOff>
    </xdr:to>
    <xdr:pic>
      <xdr:nvPicPr>
        <xdr:cNvPr id="3" name="Picture 2">
          <a:extLst>
            <a:ext uri="{FF2B5EF4-FFF2-40B4-BE49-F238E27FC236}">
              <a16:creationId xmlns:a16="http://schemas.microsoft.com/office/drawing/2014/main" id="{E8AB9A38-8CD5-C056-2359-B72D919CB0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5820" y="199476"/>
          <a:ext cx="11841480" cy="6026064"/>
        </a:xfrm>
        <a:prstGeom prst="rect">
          <a:avLst/>
        </a:prstGeom>
      </xdr:spPr>
    </xdr:pic>
    <xdr:clientData/>
  </xdr:twoCellAnchor>
  <xdr:twoCellAnchor>
    <xdr:from>
      <xdr:col>2</xdr:col>
      <xdr:colOff>160020</xdr:colOff>
      <xdr:row>9</xdr:row>
      <xdr:rowOff>38100</xdr:rowOff>
    </xdr:from>
    <xdr:to>
      <xdr:col>4</xdr:col>
      <xdr:colOff>228600</xdr:colOff>
      <xdr:row>11</xdr:row>
      <xdr:rowOff>0</xdr:rowOff>
    </xdr:to>
    <xdr:sp macro="" textlink="Sheet3!D18">
      <xdr:nvSpPr>
        <xdr:cNvPr id="4" name="Rectangle: Rounded Corners 3">
          <a:extLst>
            <a:ext uri="{FF2B5EF4-FFF2-40B4-BE49-F238E27FC236}">
              <a16:creationId xmlns:a16="http://schemas.microsoft.com/office/drawing/2014/main" id="{4181E86B-0C87-2608-4DF6-4EFAB4419A61}"/>
            </a:ext>
          </a:extLst>
        </xdr:cNvPr>
        <xdr:cNvSpPr/>
      </xdr:nvSpPr>
      <xdr:spPr>
        <a:xfrm>
          <a:off x="1379220" y="1684020"/>
          <a:ext cx="128778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BC822D-AAED-4D23-8323-F39769E9D786}" type="TxLink">
            <a:rPr lang="en-US" sz="1600" b="1" i="0" u="none" strike="noStrike">
              <a:solidFill>
                <a:srgbClr val="000000"/>
              </a:solidFill>
              <a:latin typeface="Calibri"/>
              <a:ea typeface="Calibri"/>
              <a:cs typeface="Calibri"/>
            </a:rPr>
            <a:pPr algn="ctr"/>
            <a:t>₹ 98,43,042</a:t>
          </a:fld>
          <a:endParaRPr lang="en-IN" sz="1600" b="1"/>
        </a:p>
      </xdr:txBody>
    </xdr:sp>
    <xdr:clientData/>
  </xdr:twoCellAnchor>
  <xdr:twoCellAnchor editAs="oneCell">
    <xdr:from>
      <xdr:col>13</xdr:col>
      <xdr:colOff>0</xdr:colOff>
      <xdr:row>7</xdr:row>
      <xdr:rowOff>0</xdr:rowOff>
    </xdr:from>
    <xdr:to>
      <xdr:col>14</xdr:col>
      <xdr:colOff>7620</xdr:colOff>
      <xdr:row>8</xdr:row>
      <xdr:rowOff>7620</xdr:rowOff>
    </xdr:to>
    <xdr:pic>
      <xdr:nvPicPr>
        <xdr:cNvPr id="5" name="Picture 4">
          <a:extLst>
            <a:ext uri="{FF2B5EF4-FFF2-40B4-BE49-F238E27FC236}">
              <a16:creationId xmlns:a16="http://schemas.microsoft.com/office/drawing/2014/main" id="{4BA8F929-AB1F-499E-7C99-610DB8B100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12801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7</xdr:row>
      <xdr:rowOff>0</xdr:rowOff>
    </xdr:from>
    <xdr:to>
      <xdr:col>14</xdr:col>
      <xdr:colOff>7620</xdr:colOff>
      <xdr:row>8</xdr:row>
      <xdr:rowOff>7620</xdr:rowOff>
    </xdr:to>
    <xdr:pic>
      <xdr:nvPicPr>
        <xdr:cNvPr id="6" name="Picture 5">
          <a:extLst>
            <a:ext uri="{FF2B5EF4-FFF2-40B4-BE49-F238E27FC236}">
              <a16:creationId xmlns:a16="http://schemas.microsoft.com/office/drawing/2014/main" id="{23F6556D-0FE9-1B91-6C0C-75B933FBD0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24800" y="12801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510540</xdr:colOff>
      <xdr:row>8</xdr:row>
      <xdr:rowOff>167640</xdr:rowOff>
    </xdr:from>
    <xdr:to>
      <xdr:col>7</xdr:col>
      <xdr:colOff>579120</xdr:colOff>
      <xdr:row>10</xdr:row>
      <xdr:rowOff>160020</xdr:rowOff>
    </xdr:to>
    <xdr:sp macro="" textlink="Sheet3!B18">
      <xdr:nvSpPr>
        <xdr:cNvPr id="14" name="Rectangle: Rounded Corners 13">
          <a:extLst>
            <a:ext uri="{FF2B5EF4-FFF2-40B4-BE49-F238E27FC236}">
              <a16:creationId xmlns:a16="http://schemas.microsoft.com/office/drawing/2014/main" id="{BA5A9BA2-0050-4B0C-872C-72E8DEC2E562}"/>
            </a:ext>
          </a:extLst>
        </xdr:cNvPr>
        <xdr:cNvSpPr/>
      </xdr:nvSpPr>
      <xdr:spPr>
        <a:xfrm>
          <a:off x="3558540" y="1630680"/>
          <a:ext cx="1287780" cy="3581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85D418-EFAC-48E2-8C53-9EA0490017BA}" type="TxLink">
            <a:rPr lang="en-US" sz="1600" b="1" i="0" u="none" strike="noStrike">
              <a:solidFill>
                <a:srgbClr val="000000"/>
              </a:solidFill>
              <a:latin typeface="Calibri"/>
              <a:ea typeface="Calibri"/>
              <a:cs typeface="Calibri"/>
            </a:rPr>
            <a:pPr algn="ctr"/>
            <a:t>981</a:t>
          </a:fld>
          <a:endParaRPr lang="en-IN" sz="1600" b="1"/>
        </a:p>
      </xdr:txBody>
    </xdr:sp>
    <xdr:clientData/>
  </xdr:twoCellAnchor>
  <xdr:twoCellAnchor>
    <xdr:from>
      <xdr:col>9</xdr:col>
      <xdr:colOff>365760</xdr:colOff>
      <xdr:row>8</xdr:row>
      <xdr:rowOff>175260</xdr:rowOff>
    </xdr:from>
    <xdr:to>
      <xdr:col>11</xdr:col>
      <xdr:colOff>434340</xdr:colOff>
      <xdr:row>10</xdr:row>
      <xdr:rowOff>144780</xdr:rowOff>
    </xdr:to>
    <xdr:sp macro="" textlink="Sheet3!C18">
      <xdr:nvSpPr>
        <xdr:cNvPr id="15" name="Rectangle: Rounded Corners 14">
          <a:extLst>
            <a:ext uri="{FF2B5EF4-FFF2-40B4-BE49-F238E27FC236}">
              <a16:creationId xmlns:a16="http://schemas.microsoft.com/office/drawing/2014/main" id="{C03D2BD2-4CBD-43B0-9415-AC37812C9965}"/>
            </a:ext>
          </a:extLst>
        </xdr:cNvPr>
        <xdr:cNvSpPr/>
      </xdr:nvSpPr>
      <xdr:spPr>
        <a:xfrm>
          <a:off x="5852160" y="1638300"/>
          <a:ext cx="1287780" cy="3352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DF6FAA-FBE9-401F-B093-2AEF4D4F9B68}" type="TxLink">
            <a:rPr lang="en-US" sz="1600" b="1" i="0" u="none" strike="noStrike">
              <a:solidFill>
                <a:srgbClr val="000000"/>
              </a:solidFill>
              <a:latin typeface="Calibri"/>
              <a:ea typeface="Calibri"/>
              <a:cs typeface="Calibri"/>
            </a:rPr>
            <a:pPr algn="ctr"/>
            <a:t>4280</a:t>
          </a:fld>
          <a:endParaRPr lang="en-IN" sz="1600" b="1"/>
        </a:p>
      </xdr:txBody>
    </xdr:sp>
    <xdr:clientData/>
  </xdr:twoCellAnchor>
  <xdr:twoCellAnchor>
    <xdr:from>
      <xdr:col>13</xdr:col>
      <xdr:colOff>266700</xdr:colOff>
      <xdr:row>8</xdr:row>
      <xdr:rowOff>167640</xdr:rowOff>
    </xdr:from>
    <xdr:to>
      <xdr:col>15</xdr:col>
      <xdr:colOff>304800</xdr:colOff>
      <xdr:row>10</xdr:row>
      <xdr:rowOff>160020</xdr:rowOff>
    </xdr:to>
    <xdr:sp macro="" textlink="Sheet3!D18">
      <xdr:nvSpPr>
        <xdr:cNvPr id="16" name="Rectangle: Rounded Corners 15">
          <a:extLst>
            <a:ext uri="{FF2B5EF4-FFF2-40B4-BE49-F238E27FC236}">
              <a16:creationId xmlns:a16="http://schemas.microsoft.com/office/drawing/2014/main" id="{CED38654-1628-471A-82D2-44C1A50AB6B6}"/>
            </a:ext>
          </a:extLst>
        </xdr:cNvPr>
        <xdr:cNvSpPr/>
      </xdr:nvSpPr>
      <xdr:spPr>
        <a:xfrm>
          <a:off x="8191500" y="1630680"/>
          <a:ext cx="1257300" cy="3581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AC3EA6-CC29-4C1C-8302-011F67981309}" type="TxLink">
            <a:rPr lang="en-US" sz="1600" b="1" i="0" u="none" strike="noStrike">
              <a:solidFill>
                <a:srgbClr val="000000"/>
              </a:solidFill>
              <a:latin typeface="Calibri"/>
              <a:ea typeface="Calibri"/>
              <a:cs typeface="Calibri"/>
            </a:rPr>
            <a:pPr algn="ctr"/>
            <a:t>₹ 98,43,042</a:t>
          </a:fld>
          <a:endParaRPr lang="en-IN" sz="1600" b="1"/>
        </a:p>
      </xdr:txBody>
    </xdr:sp>
    <xdr:clientData/>
  </xdr:twoCellAnchor>
  <mc:AlternateContent xmlns:mc="http://schemas.openxmlformats.org/markup-compatibility/2006">
    <mc:Choice xmlns:a14="http://schemas.microsoft.com/office/drawing/2010/main" Requires="a14">
      <xdr:twoCellAnchor editAs="oneCell">
        <xdr:from>
          <xdr:col>1</xdr:col>
          <xdr:colOff>525780</xdr:colOff>
          <xdr:row>12</xdr:row>
          <xdr:rowOff>7620</xdr:rowOff>
        </xdr:from>
        <xdr:to>
          <xdr:col>4</xdr:col>
          <xdr:colOff>495300</xdr:colOff>
          <xdr:row>13</xdr:row>
          <xdr:rowOff>175260</xdr:rowOff>
        </xdr:to>
        <xdr:pic>
          <xdr:nvPicPr>
            <xdr:cNvPr id="27" name="Picture 26">
              <a:extLst>
                <a:ext uri="{FF2B5EF4-FFF2-40B4-BE49-F238E27FC236}">
                  <a16:creationId xmlns:a16="http://schemas.microsoft.com/office/drawing/2014/main" id="{0096A498-7B7F-EA7C-2DF8-90515975A9E7}"/>
                </a:ext>
              </a:extLst>
            </xdr:cNvPr>
            <xdr:cNvPicPr>
              <a:picLocks noChangeAspect="1" noChangeArrowheads="1"/>
              <a:extLst>
                <a:ext uri="{84589F7E-364E-4C9E-8A38-B11213B215E9}">
                  <a14:cameraTool cellRange="Sheet3!$D$20" spid="_x0000_s1207"/>
                </a:ext>
              </a:extLst>
            </xdr:cNvPicPr>
          </xdr:nvPicPr>
          <xdr:blipFill>
            <a:blip xmlns:r="http://schemas.openxmlformats.org/officeDocument/2006/relationships" r:embed="rId4"/>
            <a:srcRect/>
            <a:stretch>
              <a:fillRect/>
            </a:stretch>
          </xdr:blipFill>
          <xdr:spPr bwMode="auto">
            <a:xfrm>
              <a:off x="1135380" y="2202180"/>
              <a:ext cx="1798320" cy="3505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350520</xdr:colOff>
          <xdr:row>11</xdr:row>
          <xdr:rowOff>152400</xdr:rowOff>
        </xdr:from>
        <xdr:to>
          <xdr:col>8</xdr:col>
          <xdr:colOff>213360</xdr:colOff>
          <xdr:row>13</xdr:row>
          <xdr:rowOff>137160</xdr:rowOff>
        </xdr:to>
        <xdr:pic>
          <xdr:nvPicPr>
            <xdr:cNvPr id="32" name="Picture 31">
              <a:extLst>
                <a:ext uri="{FF2B5EF4-FFF2-40B4-BE49-F238E27FC236}">
                  <a16:creationId xmlns:a16="http://schemas.microsoft.com/office/drawing/2014/main" id="{E1D9FE88-B389-BF14-6344-16AC6BD3833A}"/>
                </a:ext>
              </a:extLst>
            </xdr:cNvPr>
            <xdr:cNvPicPr>
              <a:picLocks noChangeAspect="1" noChangeArrowheads="1"/>
              <a:extLst>
                <a:ext uri="{84589F7E-364E-4C9E-8A38-B11213B215E9}">
                  <a14:cameraTool cellRange="Sheet3!$B$20" spid="_x0000_s1208"/>
                </a:ext>
              </a:extLst>
            </xdr:cNvPicPr>
          </xdr:nvPicPr>
          <xdr:blipFill>
            <a:blip xmlns:r="http://schemas.openxmlformats.org/officeDocument/2006/relationships" r:embed="rId5"/>
            <a:srcRect/>
            <a:stretch>
              <a:fillRect/>
            </a:stretch>
          </xdr:blipFill>
          <xdr:spPr bwMode="auto">
            <a:xfrm>
              <a:off x="3398520" y="2164080"/>
              <a:ext cx="1691640" cy="3505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167640</xdr:colOff>
          <xdr:row>12</xdr:row>
          <xdr:rowOff>22860</xdr:rowOff>
        </xdr:from>
        <xdr:to>
          <xdr:col>12</xdr:col>
          <xdr:colOff>121920</xdr:colOff>
          <xdr:row>13</xdr:row>
          <xdr:rowOff>167640</xdr:rowOff>
        </xdr:to>
        <xdr:pic>
          <xdr:nvPicPr>
            <xdr:cNvPr id="34" name="Picture 33">
              <a:extLst>
                <a:ext uri="{FF2B5EF4-FFF2-40B4-BE49-F238E27FC236}">
                  <a16:creationId xmlns:a16="http://schemas.microsoft.com/office/drawing/2014/main" id="{F5F3E7CE-2527-740F-50D5-14B79DE63228}"/>
                </a:ext>
              </a:extLst>
            </xdr:cNvPr>
            <xdr:cNvPicPr>
              <a:picLocks noChangeAspect="1" noChangeArrowheads="1"/>
              <a:extLst>
                <a:ext uri="{84589F7E-364E-4C9E-8A38-B11213B215E9}">
                  <a14:cameraTool cellRange="Sheet3!$C$20" spid="_x0000_s1209"/>
                </a:ext>
              </a:extLst>
            </xdr:cNvPicPr>
          </xdr:nvPicPr>
          <xdr:blipFill>
            <a:blip xmlns:r="http://schemas.openxmlformats.org/officeDocument/2006/relationships" r:embed="rId6"/>
            <a:srcRect/>
            <a:stretch>
              <a:fillRect/>
            </a:stretch>
          </xdr:blipFill>
          <xdr:spPr bwMode="auto">
            <a:xfrm>
              <a:off x="5654040" y="2217420"/>
              <a:ext cx="1783080" cy="3276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601980</xdr:colOff>
          <xdr:row>12</xdr:row>
          <xdr:rowOff>0</xdr:rowOff>
        </xdr:from>
        <xdr:to>
          <xdr:col>15</xdr:col>
          <xdr:colOff>518160</xdr:colOff>
          <xdr:row>13</xdr:row>
          <xdr:rowOff>160020</xdr:rowOff>
        </xdr:to>
        <xdr:pic>
          <xdr:nvPicPr>
            <xdr:cNvPr id="35" name="Picture 34">
              <a:extLst>
                <a:ext uri="{FF2B5EF4-FFF2-40B4-BE49-F238E27FC236}">
                  <a16:creationId xmlns:a16="http://schemas.microsoft.com/office/drawing/2014/main" id="{5EEC4EB8-836D-84C9-F169-EC263087ACA1}"/>
                </a:ext>
              </a:extLst>
            </xdr:cNvPr>
            <xdr:cNvPicPr>
              <a:picLocks noChangeAspect="1" noChangeArrowheads="1"/>
              <a:extLst>
                <a:ext uri="{84589F7E-364E-4C9E-8A38-B11213B215E9}">
                  <a14:cameraTool cellRange="Sheet3!$E$20" spid="_x0000_s1210"/>
                </a:ext>
              </a:extLst>
            </xdr:cNvPicPr>
          </xdr:nvPicPr>
          <xdr:blipFill>
            <a:blip xmlns:r="http://schemas.openxmlformats.org/officeDocument/2006/relationships" r:embed="rId7"/>
            <a:srcRect/>
            <a:stretch>
              <a:fillRect/>
            </a:stretch>
          </xdr:blipFill>
          <xdr:spPr bwMode="auto">
            <a:xfrm>
              <a:off x="7917180" y="2194560"/>
              <a:ext cx="1744980" cy="342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320040</xdr:colOff>
      <xdr:row>8</xdr:row>
      <xdr:rowOff>38100</xdr:rowOff>
    </xdr:from>
    <xdr:to>
      <xdr:col>20</xdr:col>
      <xdr:colOff>281940</xdr:colOff>
      <xdr:row>14</xdr:row>
      <xdr:rowOff>7620</xdr:rowOff>
    </xdr:to>
    <xdr:graphicFrame macro="">
      <xdr:nvGraphicFramePr>
        <xdr:cNvPr id="36" name="Chart 35">
          <a:extLst>
            <a:ext uri="{FF2B5EF4-FFF2-40B4-BE49-F238E27FC236}">
              <a16:creationId xmlns:a16="http://schemas.microsoft.com/office/drawing/2014/main" id="{13EC2054-835E-4B1E-8543-D5313F5EF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571500</xdr:colOff>
      <xdr:row>18</xdr:row>
      <xdr:rowOff>60960</xdr:rowOff>
    </xdr:from>
    <xdr:to>
      <xdr:col>8</xdr:col>
      <xdr:colOff>289560</xdr:colOff>
      <xdr:row>32</xdr:row>
      <xdr:rowOff>106680</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F894824A-2009-4A5B-A5B7-3C99EA113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81100" y="3352800"/>
              <a:ext cx="3985260" cy="2606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175260</xdr:colOff>
      <xdr:row>18</xdr:row>
      <xdr:rowOff>76200</xdr:rowOff>
    </xdr:from>
    <xdr:to>
      <xdr:col>15</xdr:col>
      <xdr:colOff>594360</xdr:colOff>
      <xdr:row>32</xdr:row>
      <xdr:rowOff>121920</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FCBA8943-8D54-4791-9231-A790B593C4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661660" y="3368040"/>
              <a:ext cx="4076700" cy="2606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396240</xdr:colOff>
      <xdr:row>16</xdr:row>
      <xdr:rowOff>144780</xdr:rowOff>
    </xdr:from>
    <xdr:to>
      <xdr:col>20</xdr:col>
      <xdr:colOff>198120</xdr:colOff>
      <xdr:row>21</xdr:row>
      <xdr:rowOff>121920</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6000A0E5-A89E-42D9-ACA3-2E4869AA38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49840" y="3070860"/>
              <a:ext cx="224028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21</xdr:row>
      <xdr:rowOff>106681</xdr:rowOff>
    </xdr:from>
    <xdr:to>
      <xdr:col>20</xdr:col>
      <xdr:colOff>243840</xdr:colOff>
      <xdr:row>29</xdr:row>
      <xdr:rowOff>76200</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C22713C9-B010-4C34-BD28-9AD568E34D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34600" y="3947161"/>
              <a:ext cx="230124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29</xdr:row>
      <xdr:rowOff>30481</xdr:rowOff>
    </xdr:from>
    <xdr:to>
      <xdr:col>20</xdr:col>
      <xdr:colOff>259080</xdr:colOff>
      <xdr:row>32</xdr:row>
      <xdr:rowOff>144780</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3BF97213-C61E-499B-A845-1208C849CC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57460" y="5334001"/>
              <a:ext cx="229362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refreshedDate="45702.520065277778" createdVersion="8" refreshedVersion="8" minRefreshableVersion="3" recordCount="981" xr:uid="{6183D726-055C-46B7-A9F9-F5411C9E55B1}">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ount="628">
        <s v="NN001"/>
        <s v="NN002"/>
        <s v="NN003"/>
        <s v="NN006"/>
        <s v="NN007"/>
        <s v="NN008"/>
        <s v="NN009"/>
        <s v="NN010"/>
        <s v="NN011"/>
        <s v="NN016"/>
        <s v="NN017"/>
        <s v="NN018"/>
        <s v="NN019"/>
        <s v="NN020"/>
        <s v="NN021"/>
        <s v="NN022"/>
        <s v="NN023"/>
        <s v="NN024"/>
        <s v="NN025"/>
        <s v="NN026"/>
        <s v="NN027"/>
        <s v="NN028"/>
        <s v="NN029"/>
        <s v="NN030"/>
        <s v="NN031"/>
        <s v="NN032"/>
        <s v="NN033"/>
        <s v="NN034"/>
        <s v="NN035"/>
        <s v="NN042"/>
        <s v="NN043"/>
        <s v="NN044"/>
        <s v="NN045"/>
        <s v="NN046"/>
        <s v="NN047"/>
        <s v="NN048"/>
        <s v="NN049"/>
        <s v="NN050"/>
        <s v="NN051"/>
        <s v="NN052"/>
        <s v="NN053"/>
        <s v="NN054"/>
        <s v="NN055"/>
        <s v="NN056"/>
        <s v="NN057"/>
        <s v="NN058"/>
        <s v="NN059"/>
        <s v="NN060"/>
        <s v="NN061"/>
        <s v="NN069"/>
        <s v="NN070"/>
        <s v="NN071"/>
        <s v="NN072"/>
        <s v="NN073"/>
        <s v="NN074"/>
        <s v="NN075"/>
        <s v="NN076"/>
        <s v="NN077"/>
        <s v="NN078"/>
        <s v="NN079"/>
        <s v="NN080"/>
        <s v="NN081"/>
        <s v="NN082"/>
        <s v="NN083"/>
        <s v="NN084"/>
        <s v="NN085"/>
        <s v="NN086"/>
        <s v="NN087"/>
        <s v="NN088"/>
        <s v="NN089"/>
        <s v="NN090"/>
        <s v="NN091"/>
        <s v="NN092"/>
        <s v="NN093"/>
        <s v="NN094"/>
        <s v="NN095"/>
        <s v="NN096"/>
        <s v="NN104"/>
        <s v="NN105"/>
        <s v="NN106"/>
        <s v="NN107"/>
        <s v="NN108"/>
        <s v="NN109"/>
        <s v="NN110"/>
        <s v="NN111"/>
        <s v="NN112"/>
        <s v="NN113"/>
        <s v="NN114"/>
        <s v="NN115"/>
        <s v="NN116"/>
        <s v="NN117"/>
        <s v="NN118"/>
        <s v="NN119"/>
        <s v="NN120"/>
        <s v="NN121"/>
        <s v="NN122"/>
        <s v="NN123"/>
        <s v="NN124"/>
        <s v="NN125"/>
        <s v="NN126"/>
        <s v="NN127"/>
        <s v="NN128"/>
        <s v="NN129"/>
        <s v="NN131"/>
        <s v="NN132"/>
        <s v="NN133"/>
        <s v="NN134"/>
        <s v="NN135"/>
        <s v="NN136"/>
        <s v="NN137"/>
        <s v="NN138"/>
        <s v="NN139"/>
        <s v="NN140"/>
        <s v="NN141"/>
        <s v="NN142"/>
        <s v="NN143"/>
        <s v="NN144"/>
        <s v="NN145"/>
        <s v="NN146"/>
        <s v="NN147"/>
        <s v="NN148"/>
        <s v="NN153"/>
        <s v="NN154"/>
        <s v="NN155"/>
        <s v="NN156"/>
        <s v="NN157"/>
        <s v="NN158"/>
        <s v="NN159"/>
        <s v="NN160"/>
        <s v="NN161"/>
        <s v="NN162"/>
        <s v="NN163"/>
        <s v="NN164"/>
        <s v="NN165"/>
        <s v="NN173"/>
        <s v="NN174"/>
        <s v="NN175"/>
        <s v="NN176"/>
        <s v="NN177"/>
        <s v="NN178"/>
        <s v="NN179"/>
        <s v="NN180"/>
        <s v="NN181"/>
        <s v="NN182"/>
        <s v="NN183"/>
        <s v="NN184"/>
        <s v="NN191"/>
        <s v="NN192"/>
        <s v="NN193"/>
        <s v="NN194"/>
        <s v="NN195"/>
        <s v="NN196"/>
        <s v="NN197"/>
        <s v="NN198"/>
        <s v="NN199"/>
        <s v="NN200"/>
        <s v="NN201"/>
        <s v="NN202"/>
        <s v="NN203"/>
        <s v="NN204"/>
        <s v="NN205"/>
        <s v="NN206"/>
        <s v="NN207"/>
        <s v="NN208"/>
        <s v="NN209"/>
        <s v="NN210"/>
        <s v="NN211"/>
        <s v="NN212"/>
        <s v="NN213"/>
        <s v="NN214"/>
        <s v="NN215"/>
        <s v="NN216"/>
        <s v="NN222"/>
        <s v="NN227"/>
        <s v="NN228"/>
        <s v="NN234"/>
        <s v="NN235"/>
        <s v="NN236"/>
        <s v="NN237"/>
        <s v="NN238"/>
        <s v="NN239"/>
        <s v="NN240"/>
        <s v="NN241"/>
        <s v="NN242"/>
        <s v="NN243"/>
        <s v="NN244"/>
        <s v="NN245"/>
        <s v="NN246"/>
        <s v="NN247"/>
        <s v="NN248"/>
        <s v="NN253"/>
        <s v="NN254"/>
        <s v="NN255"/>
        <s v="NN256"/>
        <s v="NN257"/>
        <s v="NN258"/>
        <s v="NN259"/>
        <s v="NN260"/>
        <s v="NN261"/>
        <s v="NN262"/>
        <s v="NN263"/>
        <s v="NN272"/>
        <s v="NN273"/>
        <s v="NN274"/>
        <s v="NN275"/>
        <s v="NN276"/>
        <s v="NN277"/>
        <s v="NN285"/>
        <s v="NN286"/>
        <s v="NN287"/>
        <s v="NN288"/>
        <s v="NN289"/>
        <s v="NN290"/>
        <s v="NN291"/>
        <s v="NN292"/>
        <s v="NN293"/>
        <s v="NN294"/>
        <s v="NN295"/>
        <s v="NN296"/>
        <s v="NN297"/>
        <s v="NN298"/>
        <s v="NN307"/>
        <s v="NN308"/>
        <s v="NN316"/>
        <s v="NN317"/>
        <s v="NN318"/>
        <s v="NN319"/>
        <s v="NN320"/>
        <s v="NN321"/>
        <s v="NN322"/>
        <s v="NN323"/>
        <s v="NN324"/>
        <s v="NN325"/>
        <s v="NN326"/>
        <s v="NN327"/>
        <s v="NN328"/>
        <s v="NN329"/>
        <s v="NN334"/>
        <s v="NN335"/>
        <s v="NN336"/>
        <s v="NN337"/>
        <s v="NN338"/>
        <s v="NN339"/>
        <s v="NN340"/>
        <s v="NN341"/>
        <s v="NN342"/>
        <s v="NN343"/>
        <s v="NN344"/>
        <s v="NN345"/>
        <s v="NN346"/>
        <s v="NN351"/>
        <s v="NN352"/>
        <s v="NN353"/>
        <s v="NN362"/>
        <s v="NN363"/>
        <s v="NN364"/>
        <s v="NN365"/>
        <s v="NN366"/>
        <s v="NN367"/>
        <s v="NN368"/>
        <s v="NN369"/>
        <s v="NN370"/>
        <s v="NN376"/>
        <s v="NN377"/>
        <s v="NN378"/>
        <s v="NN379"/>
        <s v="NN380"/>
        <s v="NN381"/>
        <s v="NN382"/>
        <s v="NN383"/>
        <s v="NN384"/>
        <s v="NN385"/>
        <s v="NN386"/>
        <s v="NN387"/>
        <s v="NN388"/>
        <s v="NN389"/>
        <s v="NN390"/>
        <s v="NN391"/>
        <s v="NN392"/>
        <s v="NN393"/>
        <s v="NN394"/>
        <s v="NN395"/>
        <s v="NN396"/>
        <s v="NN397"/>
        <s v="NN398"/>
        <s v="NN399"/>
        <s v="NN400"/>
        <s v="NN401"/>
        <s v="NN402"/>
        <s v="NN403"/>
        <s v="NN404"/>
        <s v="NN405"/>
        <s v="NN406"/>
        <s v="NN407"/>
        <s v="NN408"/>
        <s v="NN409"/>
        <s v="NN410"/>
        <s v="NN411"/>
        <s v="NN412"/>
        <s v="NN413"/>
        <s v="NN414"/>
        <s v="NN415"/>
        <s v="NN416"/>
        <s v="NN417"/>
        <s v="NN418"/>
        <s v="NN419"/>
        <s v="NN420"/>
        <s v="NN421"/>
        <s v="NN422"/>
        <s v="NN423"/>
        <s v="NN424"/>
        <s v="NN425"/>
        <s v="NN426"/>
        <s v="NN427"/>
        <s v="NN428"/>
        <s v="NN429"/>
        <s v="NN430"/>
        <s v="NN431"/>
        <s v="NN432"/>
        <s v="NN433"/>
        <s v="NN434"/>
        <s v="NN435"/>
        <s v="NN436"/>
        <s v="NN437"/>
        <s v="NN438"/>
        <s v="NN439"/>
        <s v="NN440"/>
        <s v="NN441"/>
        <s v="NN442"/>
        <s v="NN443"/>
        <s v="NN444"/>
        <s v="NN445"/>
        <s v="NN446"/>
        <s v="NN447"/>
        <s v="NN448"/>
        <s v="NN449"/>
        <s v="NN450"/>
        <s v="NN451"/>
        <s v="NN452"/>
        <s v="NN453"/>
        <s v="NN454"/>
        <s v="NN455"/>
        <s v="NN456"/>
        <s v="NN457"/>
        <s v="NN458"/>
        <s v="NN459"/>
        <s v="NN460"/>
        <s v="NN461"/>
        <s v="NN462"/>
        <s v="NN463"/>
        <s v="NN464"/>
        <s v="NN465"/>
        <s v="NN466"/>
        <s v="NN467"/>
        <s v="NN468"/>
        <s v="NN469"/>
        <s v="NN470"/>
        <s v="NN471"/>
        <s v="NN472"/>
        <s v="NN473"/>
        <s v="NN474"/>
        <s v="NN475"/>
        <s v="NN476"/>
        <s v="NN477"/>
        <s v="NN478"/>
        <s v="NN479"/>
        <s v="NN480"/>
        <s v="NN481"/>
        <s v="NN482"/>
        <s v="NN483"/>
        <s v="NN484"/>
        <s v="NN485"/>
        <s v="NN486"/>
        <s v="NN487"/>
        <s v="NN488"/>
        <s v="NN489"/>
        <s v="NN490"/>
        <s v="NN491"/>
        <s v="NN492"/>
        <s v="NN493"/>
        <s v="NN494"/>
        <s v="NN495"/>
        <s v="NN496"/>
        <s v="NN497"/>
        <s v="NN498"/>
        <s v="NN499"/>
        <s v="NN500"/>
        <s v="NN501"/>
        <s v="NN502"/>
        <s v="NN503"/>
        <s v="NN504"/>
        <s v="NN505"/>
        <s v="NN506"/>
        <s v="NN507"/>
        <s v="NN508"/>
        <s v="NN509"/>
        <s v="NN510"/>
        <s v="NN511"/>
        <s v="NN512"/>
        <s v="NN513"/>
        <s v="NN514"/>
        <s v="NN515"/>
        <s v="NN516"/>
        <s v="NN517"/>
        <s v="NN518"/>
        <s v="NN519"/>
        <s v="NN520"/>
        <s v="NN521"/>
        <s v="NN522"/>
        <s v="NN523"/>
        <s v="NN524"/>
        <s v="NN525"/>
        <s v="NN526"/>
        <s v="NN527"/>
        <s v="NN528"/>
        <s v="NN529"/>
        <s v="NN530"/>
        <s v="NN531"/>
        <s v="NN532"/>
        <s v="NN533"/>
        <s v="NN534"/>
        <s v="NN535"/>
        <s v="NN536"/>
        <s v="NN537"/>
        <s v="NN538"/>
        <s v="NN539"/>
        <s v="NN540"/>
        <s v="NN541"/>
        <s v="NN542"/>
        <s v="NN543"/>
        <s v="NN544"/>
        <s v="NN545"/>
        <s v="NN546"/>
        <s v="NN547"/>
        <s v="NN548"/>
        <s v="NN549"/>
        <s v="NN550"/>
        <s v="NN551"/>
        <s v="NN552"/>
        <s v="NN553"/>
        <s v="NN554"/>
        <s v="NN555"/>
        <s v="NN556"/>
        <s v="NN557"/>
        <s v="NN558"/>
        <s v="NN559"/>
        <s v="NN560"/>
        <s v="NN561"/>
        <s v="NN562"/>
        <s v="NN563"/>
        <s v="NN564"/>
        <s v="NN565"/>
        <s v="NN566"/>
        <s v="NN567"/>
        <s v="NN568"/>
        <s v="NN569"/>
        <s v="NN570"/>
        <s v="NN571"/>
        <s v="NN572"/>
        <s v="NN573"/>
        <s v="NN574"/>
        <s v="NN575"/>
        <s v="NN576"/>
        <s v="NN577"/>
        <s v="NN578"/>
        <s v="NN579"/>
        <s v="NN580"/>
        <s v="NN581"/>
        <s v="NN582"/>
        <s v="NN583"/>
        <s v="NN584"/>
        <s v="NN585"/>
        <s v="NN586"/>
        <s v="NN587"/>
        <s v="NN588"/>
        <s v="NN589"/>
        <s v="NN590"/>
        <s v="NN591"/>
        <s v="NN592"/>
        <s v="NN593"/>
        <s v="NN594"/>
        <s v="NN595"/>
        <s v="NN596"/>
        <s v="NN597"/>
        <s v="NN598"/>
        <s v="NN599"/>
        <s v="NN600"/>
        <s v="NN601"/>
        <s v="NN602"/>
        <s v="NN603"/>
        <s v="NN604"/>
        <s v="NN605"/>
        <s v="NN606"/>
        <s v="NN607"/>
        <s v="NN608"/>
        <s v="NN609"/>
        <s v="NN610"/>
        <s v="NN611"/>
        <s v="NN612"/>
        <s v="NN613"/>
        <s v="NN614"/>
        <s v="NN615"/>
        <s v="NN616"/>
        <s v="NN617"/>
        <s v="NN618"/>
        <s v="NN619"/>
        <s v="NN620"/>
        <s v="NN621"/>
        <s v="NN622"/>
        <s v="NN623"/>
        <s v="NN624"/>
        <s v="NN625"/>
        <s v="NN626"/>
        <s v="NN627"/>
        <s v="NN628"/>
        <s v="NN629"/>
        <s v="NN630"/>
        <s v="NN631"/>
        <s v="NN632"/>
        <s v="NN633"/>
        <s v="NN634"/>
        <s v="NN635"/>
        <s v="NN636"/>
        <s v="NN637"/>
        <s v="NN638"/>
        <s v="NN639"/>
        <s v="NN640"/>
        <s v="NN641"/>
        <s v="NN642"/>
        <s v="NN643"/>
        <s v="NN644"/>
        <s v="NN645"/>
        <s v="NN646"/>
        <s v="NN647"/>
        <s v="NN648"/>
        <s v="NN649"/>
        <s v="NN650"/>
        <s v="NN651"/>
        <s v="NN652"/>
        <s v="NN653"/>
        <s v="NN654"/>
        <s v="NN655"/>
        <s v="NN656"/>
        <s v="NN657"/>
        <s v="NN658"/>
        <s v="NN659"/>
        <s v="NN660"/>
        <s v="NN661"/>
        <s v="NN662"/>
        <s v="NN663"/>
        <s v="NN664"/>
        <s v="NN665"/>
        <s v="NN666"/>
        <s v="NN667"/>
        <s v="NN668"/>
        <s v="NN669"/>
        <s v="NN670"/>
        <s v="NN671"/>
        <s v="NN672"/>
        <s v="NN673"/>
        <s v="NN674"/>
        <s v="NN675"/>
        <s v="NN676"/>
        <s v="NN677"/>
        <s v="NN678"/>
        <s v="NN679"/>
        <s v="NN680"/>
        <s v="NN681"/>
        <s v="NN682"/>
        <s v="NN683"/>
        <s v="NN684"/>
        <s v="NN685"/>
        <s v="NN686"/>
        <s v="NN687"/>
        <s v="NN688"/>
        <s v="NN689"/>
        <s v="NN690"/>
        <s v="NN691"/>
        <s v="NN692"/>
        <s v="NN693"/>
        <s v="NN694"/>
        <s v="NN695"/>
        <s v="NN696"/>
        <s v="NN697"/>
        <s v="NN698"/>
        <s v="NN699"/>
        <s v="NN700"/>
        <s v="NN701"/>
        <s v="NN702"/>
        <s v="NN703"/>
        <s v="NN704"/>
        <s v="NN705"/>
        <s v="NN706"/>
        <s v="NN707"/>
        <s v="NN708"/>
        <s v="NN709"/>
        <s v="NN710"/>
        <s v="NN711"/>
        <s v="NN712"/>
        <s v="NN713"/>
        <s v="NN714"/>
        <s v="NN715"/>
        <s v="NN716"/>
        <s v="NN717"/>
        <s v="NN718"/>
        <s v="NN719"/>
        <s v="NN720"/>
        <s v="NN721"/>
        <s v="NN722"/>
        <s v="NN723"/>
        <s v="NN724"/>
        <s v="NN725"/>
        <s v="NN726"/>
        <s v="NN727"/>
        <s v="NN728"/>
        <s v="NN729"/>
        <s v="NN730"/>
        <s v="NN731"/>
        <s v="NN732"/>
        <s v="NN733"/>
        <s v="NN734"/>
        <s v="NN735"/>
        <s v="NN736"/>
        <s v="NN737"/>
        <s v="NN738"/>
        <s v="NN739"/>
        <s v="NN740"/>
        <s v="NN741"/>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53284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x v="0"/>
    <x v="0"/>
    <s v="Name 1"/>
    <x v="0"/>
    <s v="Mouse"/>
    <n v="210"/>
    <n v="45"/>
    <n v="9450"/>
    <n v="945"/>
  </r>
  <r>
    <n v="2"/>
    <x v="1"/>
    <x v="0"/>
    <x v="1"/>
    <x v="1"/>
    <s v="Name 2"/>
    <x v="1"/>
    <s v="Monitor"/>
    <n v="4000"/>
    <n v="3"/>
    <n v="12000"/>
    <n v="1200"/>
  </r>
  <r>
    <n v="2"/>
    <x v="2"/>
    <x v="0"/>
    <x v="2"/>
    <x v="2"/>
    <s v="Name 3"/>
    <x v="2"/>
    <s v="Printer"/>
    <n v="3200"/>
    <n v="5"/>
    <n v="16000"/>
    <n v="1600"/>
  </r>
  <r>
    <n v="2"/>
    <x v="3"/>
    <x v="0"/>
    <x v="3"/>
    <x v="1"/>
    <s v="Name 6"/>
    <x v="3"/>
    <s v="SSD 256 GB"/>
    <n v="4000"/>
    <n v="1"/>
    <n v="4000"/>
    <n v="400"/>
  </r>
  <r>
    <n v="4"/>
    <x v="4"/>
    <x v="0"/>
    <x v="4"/>
    <x v="1"/>
    <s v="Name 7"/>
    <x v="4"/>
    <s v="HDD 256 GB"/>
    <n v="1500"/>
    <n v="3"/>
    <n v="4500"/>
    <n v="450"/>
  </r>
  <r>
    <n v="8"/>
    <x v="5"/>
    <x v="0"/>
    <x v="5"/>
    <x v="1"/>
    <s v="Name 8"/>
    <x v="0"/>
    <s v="Mouse"/>
    <n v="210"/>
    <n v="1"/>
    <n v="210"/>
    <n v="21"/>
  </r>
  <r>
    <n v="9"/>
    <x v="6"/>
    <x v="0"/>
    <x v="6"/>
    <x v="0"/>
    <s v="Name 9"/>
    <x v="0"/>
    <s v="Monitor"/>
    <n v="4000"/>
    <n v="4"/>
    <n v="16000"/>
    <n v="1600"/>
  </r>
  <r>
    <n v="10"/>
    <x v="7"/>
    <x v="0"/>
    <x v="7"/>
    <x v="1"/>
    <s v="Name 10"/>
    <x v="0"/>
    <s v="Printer"/>
    <n v="3200"/>
    <n v="1"/>
    <n v="3200"/>
    <n v="320"/>
  </r>
  <r>
    <n v="10"/>
    <x v="8"/>
    <x v="0"/>
    <x v="8"/>
    <x v="2"/>
    <s v="Name 11"/>
    <x v="0"/>
    <s v="Scanner"/>
    <n v="2900"/>
    <n v="5"/>
    <n v="14500"/>
    <n v="1450"/>
  </r>
  <r>
    <n v="10"/>
    <x v="9"/>
    <x v="0"/>
    <x v="8"/>
    <x v="1"/>
    <s v="Name 12"/>
    <x v="0"/>
    <s v="Keyboard"/>
    <n v="190"/>
    <n v="1"/>
    <n v="190"/>
    <n v="19"/>
  </r>
  <r>
    <n v="10"/>
    <x v="10"/>
    <x v="0"/>
    <x v="8"/>
    <x v="2"/>
    <s v="Name 13"/>
    <x v="0"/>
    <s v="SSD 256 GB"/>
    <n v="4000"/>
    <n v="6"/>
    <n v="24000"/>
    <n v="2400"/>
  </r>
  <r>
    <n v="10"/>
    <x v="11"/>
    <x v="0"/>
    <x v="8"/>
    <x v="3"/>
    <s v="Name 14"/>
    <x v="0"/>
    <s v="HDD 256 GB"/>
    <n v="1500"/>
    <n v="6"/>
    <n v="9000"/>
    <n v="900"/>
  </r>
  <r>
    <n v="15"/>
    <x v="12"/>
    <x v="0"/>
    <x v="8"/>
    <x v="0"/>
    <s v="Name 15"/>
    <x v="0"/>
    <s v="Mouse"/>
    <n v="210"/>
    <n v="6"/>
    <n v="1260"/>
    <n v="126"/>
  </r>
  <r>
    <n v="16"/>
    <x v="13"/>
    <x v="0"/>
    <x v="9"/>
    <x v="1"/>
    <s v="Name 16"/>
    <x v="3"/>
    <s v="Monitor"/>
    <n v="4000"/>
    <n v="1"/>
    <n v="4000"/>
    <n v="400"/>
  </r>
  <r>
    <n v="17"/>
    <x v="14"/>
    <x v="0"/>
    <x v="10"/>
    <x v="2"/>
    <s v="Name 17"/>
    <x v="4"/>
    <s v="Printer"/>
    <n v="3200"/>
    <n v="7"/>
    <n v="22400"/>
    <n v="2240"/>
  </r>
  <r>
    <n v="18"/>
    <x v="15"/>
    <x v="0"/>
    <x v="11"/>
    <x v="1"/>
    <s v="Name 18"/>
    <x v="0"/>
    <s v="Scanner"/>
    <n v="2900"/>
    <n v="4"/>
    <n v="11600"/>
    <n v="1160"/>
  </r>
  <r>
    <n v="19"/>
    <x v="16"/>
    <x v="0"/>
    <x v="12"/>
    <x v="2"/>
    <s v="Name 19"/>
    <x v="1"/>
    <s v="Keyboard"/>
    <n v="190"/>
    <n v="4"/>
    <n v="760"/>
    <n v="76"/>
  </r>
  <r>
    <n v="20"/>
    <x v="17"/>
    <x v="0"/>
    <x v="13"/>
    <x v="3"/>
    <s v="Name 20"/>
    <x v="2"/>
    <s v="SSD 256 GB"/>
    <n v="4000"/>
    <n v="10"/>
    <n v="40000"/>
    <n v="4000"/>
  </r>
  <r>
    <n v="21"/>
    <x v="18"/>
    <x v="0"/>
    <x v="14"/>
    <x v="0"/>
    <s v="Name 21"/>
    <x v="3"/>
    <s v="HDD 256 GB"/>
    <n v="1500"/>
    <n v="9"/>
    <n v="13500"/>
    <n v="1350"/>
  </r>
  <r>
    <n v="22"/>
    <x v="19"/>
    <x v="0"/>
    <x v="15"/>
    <x v="1"/>
    <s v="Name 22"/>
    <x v="4"/>
    <s v="Mouse"/>
    <n v="210"/>
    <n v="4"/>
    <n v="840"/>
    <n v="84"/>
  </r>
  <r>
    <n v="23"/>
    <x v="20"/>
    <x v="0"/>
    <x v="16"/>
    <x v="1"/>
    <s v="Name 23"/>
    <x v="0"/>
    <s v="Monitor"/>
    <n v="4000"/>
    <n v="5"/>
    <n v="20000"/>
    <n v="2000"/>
  </r>
  <r>
    <n v="24"/>
    <x v="21"/>
    <x v="0"/>
    <x v="17"/>
    <x v="1"/>
    <s v="Name 24"/>
    <x v="1"/>
    <s v="Printer"/>
    <n v="3200"/>
    <n v="6"/>
    <n v="19200"/>
    <n v="1920"/>
  </r>
  <r>
    <n v="25"/>
    <x v="22"/>
    <x v="0"/>
    <x v="18"/>
    <x v="1"/>
    <s v="Name 25"/>
    <x v="2"/>
    <s v="Scanner"/>
    <n v="2900"/>
    <n v="5"/>
    <n v="14500"/>
    <n v="1450"/>
  </r>
  <r>
    <n v="26"/>
    <x v="23"/>
    <x v="0"/>
    <x v="19"/>
    <x v="1"/>
    <s v="Name 26"/>
    <x v="3"/>
    <s v="Keyboard"/>
    <n v="190"/>
    <n v="6"/>
    <n v="1140"/>
    <n v="114"/>
  </r>
  <r>
    <n v="27"/>
    <x v="24"/>
    <x v="0"/>
    <x v="20"/>
    <x v="1"/>
    <s v="Name 27"/>
    <x v="4"/>
    <s v="SSD 256 GB"/>
    <n v="4000"/>
    <n v="5"/>
    <n v="20000"/>
    <n v="2000"/>
  </r>
  <r>
    <n v="28"/>
    <x v="25"/>
    <x v="0"/>
    <x v="21"/>
    <x v="1"/>
    <s v="Name 28"/>
    <x v="0"/>
    <s v="HDD 256 GB"/>
    <n v="1500"/>
    <n v="6"/>
    <n v="9000"/>
    <n v="900"/>
  </r>
  <r>
    <n v="29"/>
    <x v="26"/>
    <x v="0"/>
    <x v="22"/>
    <x v="2"/>
    <s v="Name 29"/>
    <x v="1"/>
    <s v="Mouse"/>
    <n v="210"/>
    <n v="2"/>
    <n v="420"/>
    <n v="42"/>
  </r>
  <r>
    <n v="30"/>
    <x v="27"/>
    <x v="0"/>
    <x v="23"/>
    <x v="1"/>
    <s v="Name 30"/>
    <x v="2"/>
    <s v="Monitor"/>
    <n v="4000"/>
    <n v="3"/>
    <n v="12000"/>
    <n v="1200"/>
  </r>
  <r>
    <n v="31"/>
    <x v="28"/>
    <x v="0"/>
    <x v="24"/>
    <x v="2"/>
    <s v="Name 31"/>
    <x v="3"/>
    <s v="Printer"/>
    <n v="3200"/>
    <n v="5"/>
    <n v="16000"/>
    <n v="1600"/>
  </r>
  <r>
    <n v="32"/>
    <x v="29"/>
    <x v="0"/>
    <x v="25"/>
    <x v="3"/>
    <s v="Name 32"/>
    <x v="4"/>
    <s v="Scanner"/>
    <n v="2900"/>
    <n v="3"/>
    <n v="8700"/>
    <n v="870"/>
  </r>
  <r>
    <n v="33"/>
    <x v="30"/>
    <x v="0"/>
    <x v="26"/>
    <x v="0"/>
    <s v="Name 33"/>
    <x v="0"/>
    <s v="Keyboard"/>
    <n v="190"/>
    <n v="1"/>
    <n v="190"/>
    <n v="19"/>
  </r>
  <r>
    <n v="34"/>
    <x v="31"/>
    <x v="0"/>
    <x v="27"/>
    <x v="1"/>
    <s v="Name 34"/>
    <x v="1"/>
    <s v="SSD 256 GB"/>
    <n v="4000"/>
    <n v="2"/>
    <n v="8000"/>
    <n v="800"/>
  </r>
  <r>
    <n v="35"/>
    <x v="32"/>
    <x v="0"/>
    <x v="28"/>
    <x v="2"/>
    <s v="Name 35"/>
    <x v="2"/>
    <s v="HDD 256 GB"/>
    <n v="1500"/>
    <n v="3"/>
    <n v="4500"/>
    <n v="450"/>
  </r>
  <r>
    <n v="36"/>
    <x v="32"/>
    <x v="0"/>
    <x v="28"/>
    <x v="1"/>
    <s v="Name 35"/>
    <x v="3"/>
    <s v="HDD 256 GB"/>
    <n v="1500"/>
    <n v="3"/>
    <n v="4500"/>
    <n v="450"/>
  </r>
  <r>
    <n v="36"/>
    <x v="32"/>
    <x v="0"/>
    <x v="28"/>
    <x v="2"/>
    <s v="Name 35"/>
    <x v="4"/>
    <s v="HDD 256 GB"/>
    <n v="1500"/>
    <n v="3"/>
    <n v="4500"/>
    <n v="450"/>
  </r>
  <r>
    <n v="36"/>
    <x v="33"/>
    <x v="0"/>
    <x v="29"/>
    <x v="3"/>
    <s v="Name 42"/>
    <x v="0"/>
    <s v="HDD 256 GB"/>
    <n v="1500"/>
    <n v="3"/>
    <n v="4500"/>
    <n v="450"/>
  </r>
  <r>
    <n v="36"/>
    <x v="34"/>
    <x v="0"/>
    <x v="30"/>
    <x v="0"/>
    <s v="Name 43"/>
    <x v="1"/>
    <s v="Mouse"/>
    <n v="210"/>
    <n v="4"/>
    <n v="840"/>
    <n v="84"/>
  </r>
  <r>
    <n v="44"/>
    <x v="35"/>
    <x v="0"/>
    <x v="31"/>
    <x v="1"/>
    <s v="Name 44"/>
    <x v="2"/>
    <s v="Monitor"/>
    <n v="4000"/>
    <n v="5"/>
    <n v="20000"/>
    <n v="2000"/>
  </r>
  <r>
    <n v="45"/>
    <x v="36"/>
    <x v="0"/>
    <x v="32"/>
    <x v="2"/>
    <s v="Name 45"/>
    <x v="3"/>
    <s v="Printer"/>
    <n v="3200"/>
    <n v="4.8"/>
    <n v="15360"/>
    <n v="1536"/>
  </r>
  <r>
    <n v="46"/>
    <x v="37"/>
    <x v="0"/>
    <x v="33"/>
    <x v="1"/>
    <s v="Name 46"/>
    <x v="4"/>
    <s v="Scanner"/>
    <n v="2900"/>
    <n v="5.2"/>
    <n v="15080"/>
    <n v="1508"/>
  </r>
  <r>
    <n v="47"/>
    <x v="38"/>
    <x v="0"/>
    <x v="34"/>
    <x v="2"/>
    <s v="Name 47"/>
    <x v="0"/>
    <s v="Keyboard"/>
    <n v="190"/>
    <n v="5.6"/>
    <n v="1064"/>
    <n v="106.4"/>
  </r>
  <r>
    <n v="48"/>
    <x v="39"/>
    <x v="0"/>
    <x v="35"/>
    <x v="3"/>
    <s v="Name 48"/>
    <x v="1"/>
    <s v="SSD 256 GB"/>
    <n v="4000"/>
    <n v="6"/>
    <n v="24000"/>
    <n v="2400"/>
  </r>
  <r>
    <n v="49"/>
    <x v="40"/>
    <x v="0"/>
    <x v="36"/>
    <x v="0"/>
    <s v="Name 49"/>
    <x v="2"/>
    <s v="HDD 256 GB"/>
    <n v="1500"/>
    <n v="6.4"/>
    <n v="9600"/>
    <n v="960"/>
  </r>
  <r>
    <n v="50"/>
    <x v="41"/>
    <x v="0"/>
    <x v="37"/>
    <x v="1"/>
    <s v="Name 50"/>
    <x v="3"/>
    <s v="Mouse"/>
    <n v="210"/>
    <n v="6.8"/>
    <n v="1428"/>
    <n v="142.80000000000001"/>
  </r>
  <r>
    <n v="51"/>
    <x v="42"/>
    <x v="0"/>
    <x v="38"/>
    <x v="1"/>
    <s v="Name 51"/>
    <x v="4"/>
    <s v="Monitor"/>
    <n v="4000"/>
    <n v="5"/>
    <n v="20000"/>
    <n v="2000"/>
  </r>
  <r>
    <n v="52"/>
    <x v="43"/>
    <x v="0"/>
    <x v="39"/>
    <x v="1"/>
    <s v="Name 52"/>
    <x v="0"/>
    <s v="Printer"/>
    <n v="3200"/>
    <n v="6"/>
    <n v="19200"/>
    <n v="1920"/>
  </r>
  <r>
    <n v="53"/>
    <x v="44"/>
    <x v="0"/>
    <x v="40"/>
    <x v="1"/>
    <s v="Name 53"/>
    <x v="1"/>
    <s v="Scanner"/>
    <n v="2900"/>
    <n v="5"/>
    <n v="14500"/>
    <n v="1450"/>
  </r>
  <r>
    <n v="54"/>
    <x v="45"/>
    <x v="0"/>
    <x v="41"/>
    <x v="1"/>
    <s v="Name 54"/>
    <x v="2"/>
    <s v="Keyboard"/>
    <n v="190"/>
    <n v="6"/>
    <n v="1140"/>
    <n v="114"/>
  </r>
  <r>
    <n v="55"/>
    <x v="46"/>
    <x v="0"/>
    <x v="42"/>
    <x v="1"/>
    <s v="Name 55"/>
    <x v="3"/>
    <s v="SSD 256 GB"/>
    <n v="4000"/>
    <n v="5"/>
    <n v="20000"/>
    <n v="2000"/>
  </r>
  <r>
    <n v="56"/>
    <x v="47"/>
    <x v="0"/>
    <x v="43"/>
    <x v="1"/>
    <s v="Name 56"/>
    <x v="4"/>
    <s v="HDD 256 GB"/>
    <n v="1500"/>
    <n v="6"/>
    <n v="9000"/>
    <n v="900"/>
  </r>
  <r>
    <n v="57"/>
    <x v="48"/>
    <x v="0"/>
    <x v="44"/>
    <x v="1"/>
    <s v="Name 57"/>
    <x v="0"/>
    <s v="Mouse"/>
    <n v="210"/>
    <n v="2"/>
    <n v="420"/>
    <n v="42"/>
  </r>
  <r>
    <n v="58"/>
    <x v="49"/>
    <x v="0"/>
    <x v="45"/>
    <x v="1"/>
    <s v="Name 58"/>
    <x v="1"/>
    <s v="Monitor"/>
    <n v="4000"/>
    <n v="3"/>
    <n v="12000"/>
    <n v="1200"/>
  </r>
  <r>
    <n v="59"/>
    <x v="50"/>
    <x v="0"/>
    <x v="46"/>
    <x v="2"/>
    <s v="Name 59"/>
    <x v="2"/>
    <s v="Printer"/>
    <n v="3200"/>
    <n v="5"/>
    <n v="16000"/>
    <n v="1600"/>
  </r>
  <r>
    <n v="60"/>
    <x v="51"/>
    <x v="0"/>
    <x v="47"/>
    <x v="3"/>
    <s v="Name 60"/>
    <x v="3"/>
    <s v="Scanner"/>
    <n v="2900"/>
    <n v="3"/>
    <n v="8700"/>
    <n v="870"/>
  </r>
  <r>
    <n v="61"/>
    <x v="52"/>
    <x v="0"/>
    <x v="48"/>
    <x v="0"/>
    <s v="Name 61"/>
    <x v="4"/>
    <s v="Keyboard"/>
    <n v="190"/>
    <n v="1"/>
    <n v="190"/>
    <n v="19"/>
  </r>
  <r>
    <n v="62"/>
    <x v="53"/>
    <x v="0"/>
    <x v="48"/>
    <x v="1"/>
    <s v="Name 62"/>
    <x v="4"/>
    <s v="SSD 256 GB"/>
    <n v="4000"/>
    <n v="2"/>
    <n v="8000"/>
    <n v="800"/>
  </r>
  <r>
    <n v="63"/>
    <x v="54"/>
    <x v="0"/>
    <x v="48"/>
    <x v="2"/>
    <s v="Name 63"/>
    <x v="4"/>
    <s v="HDD 256 GB"/>
    <n v="1500"/>
    <n v="3"/>
    <n v="4500"/>
    <n v="450"/>
  </r>
  <r>
    <n v="64"/>
    <x v="54"/>
    <x v="0"/>
    <x v="48"/>
    <x v="1"/>
    <s v="Name 63"/>
    <x v="4"/>
    <s v="HDD 256 GB"/>
    <n v="1500"/>
    <n v="3"/>
    <n v="4500"/>
    <n v="450"/>
  </r>
  <r>
    <n v="65"/>
    <x v="54"/>
    <x v="0"/>
    <x v="48"/>
    <x v="2"/>
    <s v="Name 63"/>
    <x v="4"/>
    <s v="HDD 256 GB"/>
    <n v="1500"/>
    <n v="3"/>
    <n v="4500"/>
    <n v="450"/>
  </r>
  <r>
    <n v="66"/>
    <x v="55"/>
    <x v="0"/>
    <x v="48"/>
    <x v="3"/>
    <s v="Name 66"/>
    <x v="4"/>
    <s v="Printer"/>
    <n v="3200"/>
    <n v="1"/>
    <n v="3200"/>
    <n v="320"/>
  </r>
  <r>
    <n v="66"/>
    <x v="56"/>
    <x v="0"/>
    <x v="48"/>
    <x v="0"/>
    <s v="Name 67"/>
    <x v="4"/>
    <s v="Scanner"/>
    <n v="2900"/>
    <n v="3"/>
    <n v="8700"/>
    <n v="870"/>
  </r>
  <r>
    <n v="69"/>
    <x v="57"/>
    <x v="0"/>
    <x v="49"/>
    <x v="1"/>
    <s v="Name 69"/>
    <x v="4"/>
    <s v="SSD 256 GB"/>
    <n v="4000"/>
    <n v="2"/>
    <n v="8000"/>
    <n v="800"/>
  </r>
  <r>
    <n v="70"/>
    <x v="58"/>
    <x v="0"/>
    <x v="50"/>
    <x v="2"/>
    <s v="Name 70"/>
    <x v="4"/>
    <s v="HDD 256 GB"/>
    <n v="1500"/>
    <n v="3"/>
    <n v="4500"/>
    <n v="450"/>
  </r>
  <r>
    <n v="71"/>
    <x v="59"/>
    <x v="0"/>
    <x v="51"/>
    <x v="1"/>
    <s v="Name 71"/>
    <x v="4"/>
    <s v="Mouse"/>
    <n v="210"/>
    <n v="4"/>
    <n v="840"/>
    <n v="84"/>
  </r>
  <r>
    <n v="72"/>
    <x v="60"/>
    <x v="0"/>
    <x v="52"/>
    <x v="2"/>
    <s v="Name 72"/>
    <x v="4"/>
    <s v="Monitor"/>
    <n v="4000"/>
    <n v="5"/>
    <n v="20000"/>
    <n v="2000"/>
  </r>
  <r>
    <n v="73"/>
    <x v="61"/>
    <x v="0"/>
    <x v="53"/>
    <x v="3"/>
    <s v="Name 73"/>
    <x v="0"/>
    <s v="Printer"/>
    <n v="3200"/>
    <n v="6"/>
    <n v="19200"/>
    <n v="1920"/>
  </r>
  <r>
    <n v="74"/>
    <x v="62"/>
    <x v="0"/>
    <x v="54"/>
    <x v="0"/>
    <s v="Name 74"/>
    <x v="1"/>
    <s v="Scanner"/>
    <n v="2900"/>
    <n v="5"/>
    <n v="14500"/>
    <n v="1450"/>
  </r>
  <r>
    <n v="75"/>
    <x v="63"/>
    <x v="0"/>
    <x v="55"/>
    <x v="1"/>
    <s v="Name 75"/>
    <x v="2"/>
    <s v="Keyboard"/>
    <n v="190"/>
    <n v="4"/>
    <n v="760"/>
    <n v="76"/>
  </r>
  <r>
    <n v="76"/>
    <x v="64"/>
    <x v="0"/>
    <x v="56"/>
    <x v="2"/>
    <s v="Name 76"/>
    <x v="3"/>
    <s v="SSD 256 GB"/>
    <n v="4000"/>
    <n v="10"/>
    <n v="40000"/>
    <n v="4000"/>
  </r>
  <r>
    <n v="77"/>
    <x v="65"/>
    <x v="0"/>
    <x v="57"/>
    <x v="1"/>
    <s v="Name 77"/>
    <x v="4"/>
    <s v="HDD 256 GB"/>
    <n v="1500"/>
    <n v="3"/>
    <n v="4500"/>
    <n v="450"/>
  </r>
  <r>
    <n v="78"/>
    <x v="66"/>
    <x v="0"/>
    <x v="58"/>
    <x v="0"/>
    <s v="Name 78"/>
    <x v="0"/>
    <s v="Mouse"/>
    <n v="210"/>
    <n v="4"/>
    <n v="840"/>
    <n v="84"/>
  </r>
  <r>
    <n v="79"/>
    <x v="67"/>
    <x v="0"/>
    <x v="59"/>
    <x v="0"/>
    <s v="Name 79"/>
    <x v="1"/>
    <s v="Monitor"/>
    <n v="4000"/>
    <n v="5"/>
    <n v="20000"/>
    <n v="2000"/>
  </r>
  <r>
    <n v="80"/>
    <x v="68"/>
    <x v="0"/>
    <x v="60"/>
    <x v="0"/>
    <s v="Name 80"/>
    <x v="2"/>
    <s v="Printer"/>
    <n v="3200"/>
    <n v="6"/>
    <n v="19200"/>
    <n v="1920"/>
  </r>
  <r>
    <n v="81"/>
    <x v="69"/>
    <x v="0"/>
    <x v="61"/>
    <x v="0"/>
    <s v="Name 81"/>
    <x v="3"/>
    <s v="Scanner"/>
    <n v="2900"/>
    <n v="5"/>
    <n v="14500"/>
    <n v="1450"/>
  </r>
  <r>
    <n v="82"/>
    <x v="70"/>
    <x v="0"/>
    <x v="62"/>
    <x v="0"/>
    <s v="Name 82"/>
    <x v="4"/>
    <s v="Keyboard"/>
    <n v="190"/>
    <n v="6"/>
    <n v="1140"/>
    <n v="114"/>
  </r>
  <r>
    <n v="83"/>
    <x v="71"/>
    <x v="0"/>
    <x v="63"/>
    <x v="0"/>
    <s v="Name 83"/>
    <x v="0"/>
    <s v="SSD 256 GB"/>
    <n v="4000"/>
    <n v="5"/>
    <n v="20000"/>
    <n v="2000"/>
  </r>
  <r>
    <n v="84"/>
    <x v="72"/>
    <x v="0"/>
    <x v="64"/>
    <x v="0"/>
    <s v="Name 84"/>
    <x v="1"/>
    <s v="HDD 256 GB"/>
    <n v="1500"/>
    <n v="6"/>
    <n v="9000"/>
    <n v="900"/>
  </r>
  <r>
    <n v="85"/>
    <x v="73"/>
    <x v="0"/>
    <x v="65"/>
    <x v="0"/>
    <s v="Name 85"/>
    <x v="2"/>
    <s v="Mouse"/>
    <n v="210"/>
    <n v="2"/>
    <n v="420"/>
    <n v="42"/>
  </r>
  <r>
    <n v="86"/>
    <x v="74"/>
    <x v="0"/>
    <x v="66"/>
    <x v="0"/>
    <s v="Name 86"/>
    <x v="3"/>
    <s v="Monitor"/>
    <n v="4000"/>
    <n v="3"/>
    <n v="12000"/>
    <n v="1200"/>
  </r>
  <r>
    <n v="87"/>
    <x v="75"/>
    <x v="0"/>
    <x v="67"/>
    <x v="1"/>
    <s v="Name 87"/>
    <x v="4"/>
    <s v="Printer"/>
    <n v="3200"/>
    <n v="5"/>
    <n v="16000"/>
    <n v="1600"/>
  </r>
  <r>
    <n v="88"/>
    <x v="76"/>
    <x v="0"/>
    <x v="68"/>
    <x v="2"/>
    <s v="Name 88"/>
    <x v="0"/>
    <s v="Scanner"/>
    <n v="2900"/>
    <n v="3"/>
    <n v="8700"/>
    <n v="870"/>
  </r>
  <r>
    <n v="89"/>
    <x v="77"/>
    <x v="0"/>
    <x v="69"/>
    <x v="1"/>
    <s v="Name 89"/>
    <x v="1"/>
    <s v="Keyboard"/>
    <n v="190"/>
    <n v="1"/>
    <n v="190"/>
    <n v="19"/>
  </r>
  <r>
    <n v="90"/>
    <x v="78"/>
    <x v="0"/>
    <x v="70"/>
    <x v="2"/>
    <s v="Name 90"/>
    <x v="2"/>
    <s v="SSD 256 GB"/>
    <n v="4000"/>
    <n v="2"/>
    <n v="8000"/>
    <n v="800"/>
  </r>
  <r>
    <n v="91"/>
    <x v="79"/>
    <x v="0"/>
    <x v="71"/>
    <x v="3"/>
    <s v="Name 91"/>
    <x v="3"/>
    <s v="HDD 256 GB"/>
    <n v="1500"/>
    <n v="3"/>
    <n v="4500"/>
    <n v="450"/>
  </r>
  <r>
    <n v="92"/>
    <x v="80"/>
    <x v="0"/>
    <x v="72"/>
    <x v="0"/>
    <s v="Name 92"/>
    <x v="4"/>
    <s v="Mouse"/>
    <n v="210"/>
    <n v="7"/>
    <n v="1470"/>
    <n v="147"/>
  </r>
  <r>
    <n v="93"/>
    <x v="81"/>
    <x v="0"/>
    <x v="73"/>
    <x v="1"/>
    <s v="Name 93"/>
    <x v="0"/>
    <s v="Monitor"/>
    <n v="4000"/>
    <n v="6"/>
    <n v="24000"/>
    <n v="2400"/>
  </r>
  <r>
    <n v="94"/>
    <x v="82"/>
    <x v="0"/>
    <x v="74"/>
    <x v="2"/>
    <s v="Name 94"/>
    <x v="1"/>
    <s v="Printer"/>
    <n v="3200"/>
    <n v="1"/>
    <n v="3200"/>
    <n v="320"/>
  </r>
  <r>
    <n v="95"/>
    <x v="83"/>
    <x v="0"/>
    <x v="75"/>
    <x v="1"/>
    <s v="Name 95"/>
    <x v="2"/>
    <s v="Scanner"/>
    <n v="2900"/>
    <n v="3"/>
    <n v="8700"/>
    <n v="870"/>
  </r>
  <r>
    <n v="96"/>
    <x v="84"/>
    <x v="0"/>
    <x v="76"/>
    <x v="2"/>
    <s v="Name 96"/>
    <x v="3"/>
    <s v="Keyboard"/>
    <n v="190"/>
    <n v="4"/>
    <n v="760"/>
    <n v="76"/>
  </r>
  <r>
    <n v="97"/>
    <x v="85"/>
    <x v="0"/>
    <x v="76"/>
    <x v="3"/>
    <s v="Name 97"/>
    <x v="4"/>
    <s v="SSD 256 GB"/>
    <n v="4000"/>
    <n v="2"/>
    <n v="8000"/>
    <n v="800"/>
  </r>
  <r>
    <n v="98"/>
    <x v="86"/>
    <x v="0"/>
    <x v="76"/>
    <x v="0"/>
    <s v="Name 98"/>
    <x v="0"/>
    <s v="HDD 256 GB"/>
    <n v="1500"/>
    <n v="3"/>
    <n v="4500"/>
    <n v="450"/>
  </r>
  <r>
    <n v="98"/>
    <x v="87"/>
    <x v="0"/>
    <x v="76"/>
    <x v="1"/>
    <s v="Name 99"/>
    <x v="1"/>
    <s v="Mouse"/>
    <n v="210"/>
    <n v="4"/>
    <n v="840"/>
    <n v="84"/>
  </r>
  <r>
    <n v="98"/>
    <x v="88"/>
    <x v="0"/>
    <x v="77"/>
    <x v="2"/>
    <s v="Name 104"/>
    <x v="2"/>
    <s v="SSD 256 GB"/>
    <n v="4000"/>
    <n v="10"/>
    <n v="40000"/>
    <n v="4000"/>
  </r>
  <r>
    <n v="105"/>
    <x v="89"/>
    <x v="0"/>
    <x v="78"/>
    <x v="1"/>
    <s v="Name 105"/>
    <x v="3"/>
    <s v="HDD 256 GB"/>
    <n v="1500"/>
    <n v="3"/>
    <n v="4500"/>
    <n v="450"/>
  </r>
  <r>
    <n v="106"/>
    <x v="90"/>
    <x v="0"/>
    <x v="79"/>
    <x v="2"/>
    <s v="Name 106"/>
    <x v="4"/>
    <s v="Mouse"/>
    <n v="210"/>
    <n v="4"/>
    <n v="840"/>
    <n v="84"/>
  </r>
  <r>
    <n v="107"/>
    <x v="91"/>
    <x v="0"/>
    <x v="80"/>
    <x v="3"/>
    <s v="Name 107"/>
    <x v="0"/>
    <s v="Monitor"/>
    <n v="4000"/>
    <n v="5"/>
    <n v="20000"/>
    <n v="2000"/>
  </r>
  <r>
    <n v="108"/>
    <x v="92"/>
    <x v="0"/>
    <x v="81"/>
    <x v="0"/>
    <s v="Name 108"/>
    <x v="1"/>
    <s v="Printer"/>
    <n v="3200"/>
    <n v="6"/>
    <n v="19200"/>
    <n v="1920"/>
  </r>
  <r>
    <n v="109"/>
    <x v="93"/>
    <x v="0"/>
    <x v="82"/>
    <x v="1"/>
    <s v="Name 109"/>
    <x v="1"/>
    <s v="Scanner"/>
    <n v="2900"/>
    <n v="5"/>
    <n v="14500"/>
    <n v="1450"/>
  </r>
  <r>
    <n v="110"/>
    <x v="94"/>
    <x v="0"/>
    <x v="83"/>
    <x v="2"/>
    <s v="Name 110"/>
    <x v="1"/>
    <s v="Keyboard"/>
    <n v="190"/>
    <n v="6"/>
    <n v="1140"/>
    <n v="114"/>
  </r>
  <r>
    <n v="111"/>
    <x v="95"/>
    <x v="0"/>
    <x v="84"/>
    <x v="1"/>
    <s v="Name 111"/>
    <x v="1"/>
    <s v="SSD 256 GB"/>
    <n v="4000"/>
    <n v="5"/>
    <n v="20000"/>
    <n v="2000"/>
  </r>
  <r>
    <n v="112"/>
    <x v="96"/>
    <x v="0"/>
    <x v="85"/>
    <x v="2"/>
    <s v="Name 112"/>
    <x v="1"/>
    <s v="HDD 256 GB"/>
    <n v="1500"/>
    <n v="6"/>
    <n v="9000"/>
    <n v="900"/>
  </r>
  <r>
    <n v="113"/>
    <x v="97"/>
    <x v="0"/>
    <x v="86"/>
    <x v="3"/>
    <s v="Name 113"/>
    <x v="1"/>
    <s v="Mouse"/>
    <n v="210"/>
    <n v="2"/>
    <n v="420"/>
    <n v="42"/>
  </r>
  <r>
    <n v="114"/>
    <x v="98"/>
    <x v="0"/>
    <x v="87"/>
    <x v="0"/>
    <s v="Name 114"/>
    <x v="1"/>
    <s v="Monitor"/>
    <n v="4000"/>
    <n v="3"/>
    <n v="12000"/>
    <n v="1200"/>
  </r>
  <r>
    <n v="115"/>
    <x v="99"/>
    <x v="0"/>
    <x v="88"/>
    <x v="1"/>
    <s v="Name 115"/>
    <x v="1"/>
    <s v="Printer"/>
    <n v="3200"/>
    <n v="5"/>
    <n v="16000"/>
    <n v="1600"/>
  </r>
  <r>
    <n v="116"/>
    <x v="100"/>
    <x v="0"/>
    <x v="89"/>
    <x v="2"/>
    <s v="Name 116"/>
    <x v="1"/>
    <s v="Scanner"/>
    <n v="2900"/>
    <n v="3"/>
    <n v="8700"/>
    <n v="870"/>
  </r>
  <r>
    <n v="117"/>
    <x v="101"/>
    <x v="0"/>
    <x v="90"/>
    <x v="1"/>
    <s v="Name 117"/>
    <x v="1"/>
    <s v="Keyboard"/>
    <n v="190"/>
    <n v="1"/>
    <n v="190"/>
    <n v="19"/>
  </r>
  <r>
    <n v="118"/>
    <x v="102"/>
    <x v="0"/>
    <x v="91"/>
    <x v="2"/>
    <s v="Name 118"/>
    <x v="1"/>
    <s v="SSD 256 GB"/>
    <n v="4000"/>
    <n v="2"/>
    <n v="8000"/>
    <n v="800"/>
  </r>
  <r>
    <n v="119"/>
    <x v="103"/>
    <x v="0"/>
    <x v="92"/>
    <x v="3"/>
    <s v="Name 119"/>
    <x v="1"/>
    <s v="HDD 256 GB"/>
    <n v="1500"/>
    <n v="3"/>
    <n v="4500"/>
    <n v="450"/>
  </r>
  <r>
    <n v="120"/>
    <x v="104"/>
    <x v="0"/>
    <x v="93"/>
    <x v="0"/>
    <s v="Name 120"/>
    <x v="3"/>
    <s v="Mouse"/>
    <n v="210"/>
    <n v="7"/>
    <n v="1470"/>
    <n v="147"/>
  </r>
  <r>
    <n v="121"/>
    <x v="105"/>
    <x v="0"/>
    <x v="94"/>
    <x v="1"/>
    <s v="Name 121"/>
    <x v="4"/>
    <s v="Monitor"/>
    <n v="4000"/>
    <n v="6"/>
    <n v="24000"/>
    <n v="2400"/>
  </r>
  <r>
    <n v="122"/>
    <x v="106"/>
    <x v="0"/>
    <x v="95"/>
    <x v="2"/>
    <s v="Name 122"/>
    <x v="0"/>
    <s v="Printer"/>
    <n v="3200"/>
    <n v="1"/>
    <n v="3200"/>
    <n v="320"/>
  </r>
  <r>
    <n v="123"/>
    <x v="107"/>
    <x v="0"/>
    <x v="96"/>
    <x v="1"/>
    <s v="Name 123"/>
    <x v="1"/>
    <s v="Scanner"/>
    <n v="2900"/>
    <n v="3"/>
    <n v="8700"/>
    <n v="870"/>
  </r>
  <r>
    <n v="124"/>
    <x v="108"/>
    <x v="0"/>
    <x v="97"/>
    <x v="2"/>
    <s v="Name 124"/>
    <x v="2"/>
    <s v="Keyboard"/>
    <n v="190"/>
    <n v="4"/>
    <n v="760"/>
    <n v="76"/>
  </r>
  <r>
    <n v="125"/>
    <x v="109"/>
    <x v="0"/>
    <x v="98"/>
    <x v="3"/>
    <s v="Name 125"/>
    <x v="3"/>
    <s v="SSD 256 GB"/>
    <n v="4000"/>
    <n v="2"/>
    <n v="8000"/>
    <n v="800"/>
  </r>
  <r>
    <n v="126"/>
    <x v="110"/>
    <x v="0"/>
    <x v="99"/>
    <x v="0"/>
    <s v="Name 126"/>
    <x v="4"/>
    <s v="HDD 256 GB"/>
    <n v="1500"/>
    <n v="3"/>
    <n v="4500"/>
    <n v="450"/>
  </r>
  <r>
    <n v="127"/>
    <x v="111"/>
    <x v="0"/>
    <x v="100"/>
    <x v="1"/>
    <s v="Name 127"/>
    <x v="0"/>
    <s v="Mouse"/>
    <n v="210"/>
    <n v="4"/>
    <n v="840"/>
    <n v="84"/>
  </r>
  <r>
    <n v="128"/>
    <x v="112"/>
    <x v="0"/>
    <x v="101"/>
    <x v="2"/>
    <s v="Name 128"/>
    <x v="1"/>
    <s v="Monitor"/>
    <n v="4000"/>
    <n v="5"/>
    <n v="20000"/>
    <n v="2000"/>
  </r>
  <r>
    <n v="129"/>
    <x v="113"/>
    <x v="1"/>
    <x v="102"/>
    <x v="1"/>
    <s v="Name 129"/>
    <x v="2"/>
    <s v="Monitor"/>
    <n v="4000"/>
    <n v="5"/>
    <n v="20000"/>
    <n v="2000"/>
  </r>
  <r>
    <n v="129"/>
    <x v="114"/>
    <x v="0"/>
    <x v="103"/>
    <x v="2"/>
    <s v="Name 131"/>
    <x v="3"/>
    <s v="Keyboard"/>
    <n v="190"/>
    <n v="4"/>
    <n v="760"/>
    <n v="76"/>
  </r>
  <r>
    <n v="129"/>
    <x v="115"/>
    <x v="0"/>
    <x v="104"/>
    <x v="3"/>
    <s v="Name 132"/>
    <x v="4"/>
    <s v="SSD 256 GB"/>
    <n v="4000"/>
    <n v="10"/>
    <n v="40000"/>
    <n v="4000"/>
  </r>
  <r>
    <n v="129"/>
    <x v="116"/>
    <x v="0"/>
    <x v="105"/>
    <x v="0"/>
    <s v="Name 133"/>
    <x v="0"/>
    <s v="HDD 256 GB"/>
    <n v="1500"/>
    <n v="3"/>
    <n v="4500"/>
    <n v="450"/>
  </r>
  <r>
    <n v="129"/>
    <x v="117"/>
    <x v="0"/>
    <x v="106"/>
    <x v="1"/>
    <s v="Name 134"/>
    <x v="1"/>
    <s v="Mouse"/>
    <n v="210"/>
    <n v="22"/>
    <n v="4620"/>
    <n v="462"/>
  </r>
  <r>
    <n v="129"/>
    <x v="118"/>
    <x v="0"/>
    <x v="107"/>
    <x v="2"/>
    <s v="Name 135"/>
    <x v="2"/>
    <s v="Monitor"/>
    <n v="4000"/>
    <n v="12"/>
    <n v="48000"/>
    <n v="4800"/>
  </r>
  <r>
    <n v="129"/>
    <x v="119"/>
    <x v="0"/>
    <x v="108"/>
    <x v="1"/>
    <s v="Name 136"/>
    <x v="3"/>
    <s v="Printer"/>
    <n v="3200"/>
    <n v="21"/>
    <n v="67200"/>
    <n v="6720"/>
  </r>
  <r>
    <n v="129"/>
    <x v="120"/>
    <x v="0"/>
    <x v="109"/>
    <x v="2"/>
    <s v="Name 137"/>
    <x v="4"/>
    <s v="Scanner"/>
    <n v="2900"/>
    <n v="5"/>
    <n v="14500"/>
    <n v="1450"/>
  </r>
  <r>
    <n v="129"/>
    <x v="121"/>
    <x v="0"/>
    <x v="110"/>
    <x v="3"/>
    <s v="Name 138"/>
    <x v="0"/>
    <s v="Keyboard"/>
    <n v="190"/>
    <n v="12"/>
    <n v="2280"/>
    <n v="228"/>
  </r>
  <r>
    <n v="129"/>
    <x v="122"/>
    <x v="0"/>
    <x v="111"/>
    <x v="3"/>
    <s v="Name 139"/>
    <x v="1"/>
    <s v="SSD 256 GB"/>
    <n v="4000"/>
    <n v="5"/>
    <n v="20000"/>
    <n v="2000"/>
  </r>
  <r>
    <n v="140"/>
    <x v="123"/>
    <x v="0"/>
    <x v="112"/>
    <x v="3"/>
    <s v="Name 140"/>
    <x v="2"/>
    <s v="HDD 256 GB"/>
    <n v="1500"/>
    <n v="6"/>
    <n v="9000"/>
    <n v="900"/>
  </r>
  <r>
    <n v="141"/>
    <x v="124"/>
    <x v="0"/>
    <x v="113"/>
    <x v="3"/>
    <s v="Name 141"/>
    <x v="3"/>
    <s v="Mouse"/>
    <n v="210"/>
    <n v="1"/>
    <n v="210"/>
    <n v="21"/>
  </r>
  <r>
    <n v="142"/>
    <x v="125"/>
    <x v="0"/>
    <x v="114"/>
    <x v="3"/>
    <s v="Name 142"/>
    <x v="4"/>
    <s v="Monitor"/>
    <n v="4000"/>
    <n v="3"/>
    <n v="12000"/>
    <n v="1200"/>
  </r>
  <r>
    <n v="143"/>
    <x v="126"/>
    <x v="0"/>
    <x v="115"/>
    <x v="3"/>
    <s v="Name 143"/>
    <x v="0"/>
    <s v="Printer"/>
    <n v="3200"/>
    <n v="5"/>
    <n v="16000"/>
    <n v="1600"/>
  </r>
  <r>
    <n v="144"/>
    <x v="127"/>
    <x v="0"/>
    <x v="116"/>
    <x v="3"/>
    <s v="Name 144"/>
    <x v="1"/>
    <s v="Scanner"/>
    <n v="2900"/>
    <n v="3"/>
    <n v="8700"/>
    <n v="870"/>
  </r>
  <r>
    <n v="145"/>
    <x v="128"/>
    <x v="0"/>
    <x v="117"/>
    <x v="0"/>
    <s v="Name 145"/>
    <x v="2"/>
    <s v="Keyboard"/>
    <n v="190"/>
    <n v="1"/>
    <n v="190"/>
    <n v="19"/>
  </r>
  <r>
    <n v="146"/>
    <x v="129"/>
    <x v="0"/>
    <x v="118"/>
    <x v="1"/>
    <s v="Name 146"/>
    <x v="3"/>
    <s v="SSD 256 GB"/>
    <n v="4000"/>
    <n v="2"/>
    <n v="8000"/>
    <n v="800"/>
  </r>
  <r>
    <n v="147"/>
    <x v="130"/>
    <x v="0"/>
    <x v="119"/>
    <x v="2"/>
    <s v="Name 147"/>
    <x v="4"/>
    <s v="HDD 256 GB"/>
    <n v="1500"/>
    <n v="3"/>
    <n v="4500"/>
    <n v="450"/>
  </r>
  <r>
    <n v="148"/>
    <x v="131"/>
    <x v="0"/>
    <x v="120"/>
    <x v="1"/>
    <s v="Name 148"/>
    <x v="0"/>
    <s v="Mouse"/>
    <n v="210"/>
    <n v="7"/>
    <n v="1470"/>
    <n v="147"/>
  </r>
  <r>
    <n v="152"/>
    <x v="132"/>
    <x v="0"/>
    <x v="120"/>
    <x v="2"/>
    <s v="Name 152"/>
    <x v="1"/>
    <s v="Keyboard"/>
    <n v="190"/>
    <n v="4"/>
    <n v="760"/>
    <n v="76"/>
  </r>
  <r>
    <n v="153"/>
    <x v="133"/>
    <x v="0"/>
    <x v="121"/>
    <x v="3"/>
    <s v="Name 153"/>
    <x v="2"/>
    <s v="SSD 256 GB"/>
    <n v="4000"/>
    <n v="12"/>
    <n v="48000"/>
    <n v="4800"/>
  </r>
  <r>
    <n v="154"/>
    <x v="134"/>
    <x v="0"/>
    <x v="122"/>
    <x v="0"/>
    <s v="Name 154"/>
    <x v="3"/>
    <s v="HDD 256 GB"/>
    <n v="1500"/>
    <n v="3"/>
    <n v="4500"/>
    <n v="450"/>
  </r>
  <r>
    <n v="155"/>
    <x v="135"/>
    <x v="0"/>
    <x v="123"/>
    <x v="1"/>
    <s v="Name 155"/>
    <x v="4"/>
    <s v="Mouse"/>
    <n v="210"/>
    <n v="4"/>
    <n v="840"/>
    <n v="84"/>
  </r>
  <r>
    <n v="156"/>
    <x v="136"/>
    <x v="0"/>
    <x v="124"/>
    <x v="2"/>
    <s v="Name 156"/>
    <x v="0"/>
    <s v="Monitor"/>
    <n v="4000"/>
    <n v="5"/>
    <n v="20000"/>
    <n v="2000"/>
  </r>
  <r>
    <n v="157"/>
    <x v="137"/>
    <x v="0"/>
    <x v="125"/>
    <x v="1"/>
    <s v="Name 157"/>
    <x v="1"/>
    <s v="Printer"/>
    <n v="3200"/>
    <n v="6"/>
    <n v="19200"/>
    <n v="1920"/>
  </r>
  <r>
    <n v="158"/>
    <x v="138"/>
    <x v="0"/>
    <x v="126"/>
    <x v="2"/>
    <s v="Name 158"/>
    <x v="2"/>
    <s v="Scanner"/>
    <n v="2900"/>
    <n v="5"/>
    <n v="14500"/>
    <n v="1450"/>
  </r>
  <r>
    <n v="159"/>
    <x v="139"/>
    <x v="0"/>
    <x v="127"/>
    <x v="3"/>
    <s v="Name 159"/>
    <x v="3"/>
    <s v="Keyboard"/>
    <n v="190"/>
    <n v="4"/>
    <n v="760"/>
    <n v="76"/>
  </r>
  <r>
    <n v="159"/>
    <x v="140"/>
    <x v="0"/>
    <x v="128"/>
    <x v="0"/>
    <s v="Name 160"/>
    <x v="3"/>
    <s v="SSD 256 GB"/>
    <n v="4000"/>
    <n v="10"/>
    <n v="40000"/>
    <n v="4000"/>
  </r>
  <r>
    <n v="159"/>
    <x v="141"/>
    <x v="0"/>
    <x v="129"/>
    <x v="1"/>
    <s v="Name 161"/>
    <x v="3"/>
    <s v="HDD 256 GB"/>
    <n v="1500"/>
    <n v="3"/>
    <n v="4500"/>
    <n v="450"/>
  </r>
  <r>
    <n v="162"/>
    <x v="142"/>
    <x v="0"/>
    <x v="130"/>
    <x v="2"/>
    <s v="Name 162"/>
    <x v="3"/>
    <s v="Mouse"/>
    <n v="210"/>
    <n v="4"/>
    <n v="840"/>
    <n v="84"/>
  </r>
  <r>
    <n v="163"/>
    <x v="143"/>
    <x v="0"/>
    <x v="131"/>
    <x v="1"/>
    <s v="Name 163"/>
    <x v="3"/>
    <s v="Monitor"/>
    <n v="4000"/>
    <n v="5"/>
    <n v="20000"/>
    <n v="2000"/>
  </r>
  <r>
    <n v="164"/>
    <x v="144"/>
    <x v="0"/>
    <x v="132"/>
    <x v="2"/>
    <s v="Name 164"/>
    <x v="3"/>
    <s v="Printer"/>
    <n v="3200"/>
    <n v="6"/>
    <n v="19200"/>
    <n v="1920"/>
  </r>
  <r>
    <n v="165"/>
    <x v="145"/>
    <x v="0"/>
    <x v="133"/>
    <x v="3"/>
    <s v="Name 165"/>
    <x v="3"/>
    <s v="Scanner"/>
    <n v="2900"/>
    <n v="12"/>
    <n v="34800"/>
    <n v="3480"/>
  </r>
  <r>
    <n v="166"/>
    <x v="146"/>
    <x v="0"/>
    <x v="133"/>
    <x v="0"/>
    <s v="Name 166"/>
    <x v="3"/>
    <s v="Keyboard"/>
    <n v="190"/>
    <n v="12"/>
    <n v="2280"/>
    <n v="228"/>
  </r>
  <r>
    <n v="167"/>
    <x v="147"/>
    <x v="0"/>
    <x v="133"/>
    <x v="1"/>
    <s v="Name 167"/>
    <x v="1"/>
    <s v="SSD 256 GB"/>
    <n v="4000"/>
    <n v="5"/>
    <n v="20000"/>
    <n v="2000"/>
  </r>
  <r>
    <n v="168"/>
    <x v="148"/>
    <x v="0"/>
    <x v="133"/>
    <x v="2"/>
    <s v="Name 168"/>
    <x v="2"/>
    <s v="HDD 256 GB"/>
    <n v="1500"/>
    <n v="6"/>
    <n v="9000"/>
    <n v="900"/>
  </r>
  <r>
    <n v="169"/>
    <x v="149"/>
    <x v="0"/>
    <x v="133"/>
    <x v="1"/>
    <s v="Name 169"/>
    <x v="3"/>
    <s v="Mouse"/>
    <n v="210"/>
    <n v="2"/>
    <n v="420"/>
    <n v="42"/>
  </r>
  <r>
    <n v="170"/>
    <x v="150"/>
    <x v="0"/>
    <x v="133"/>
    <x v="2"/>
    <s v="Name 170"/>
    <x v="4"/>
    <s v="Monitor"/>
    <n v="4000"/>
    <n v="3"/>
    <n v="12000"/>
    <n v="1200"/>
  </r>
  <r>
    <n v="171"/>
    <x v="151"/>
    <x v="0"/>
    <x v="133"/>
    <x v="3"/>
    <s v="Name 171"/>
    <x v="0"/>
    <s v="Printer"/>
    <n v="3200"/>
    <n v="5"/>
    <n v="16000"/>
    <n v="1600"/>
  </r>
  <r>
    <n v="172"/>
    <x v="152"/>
    <x v="0"/>
    <x v="133"/>
    <x v="0"/>
    <s v="Name 172"/>
    <x v="1"/>
    <s v="Scanner"/>
    <n v="2900"/>
    <n v="3"/>
    <n v="8700"/>
    <n v="870"/>
  </r>
  <r>
    <n v="173"/>
    <x v="153"/>
    <x v="0"/>
    <x v="134"/>
    <x v="1"/>
    <s v="Name 173"/>
    <x v="2"/>
    <s v="Keyboard"/>
    <n v="190"/>
    <n v="1"/>
    <n v="190"/>
    <n v="19"/>
  </r>
  <r>
    <n v="174"/>
    <x v="154"/>
    <x v="0"/>
    <x v="135"/>
    <x v="2"/>
    <s v="Name 174"/>
    <x v="3"/>
    <s v="SSD 256 GB"/>
    <n v="4000"/>
    <n v="2"/>
    <n v="8000"/>
    <n v="800"/>
  </r>
  <r>
    <n v="175"/>
    <x v="155"/>
    <x v="0"/>
    <x v="136"/>
    <x v="1"/>
    <s v="Name 175"/>
    <x v="4"/>
    <s v="HDD 256 GB"/>
    <n v="1500"/>
    <n v="3"/>
    <n v="4500"/>
    <n v="450"/>
  </r>
  <r>
    <n v="176"/>
    <x v="156"/>
    <x v="0"/>
    <x v="137"/>
    <x v="2"/>
    <s v="Name 176"/>
    <x v="0"/>
    <s v="Mouse"/>
    <n v="210"/>
    <n v="7"/>
    <n v="1470"/>
    <n v="147"/>
  </r>
  <r>
    <n v="177"/>
    <x v="157"/>
    <x v="0"/>
    <x v="138"/>
    <x v="3"/>
    <s v="Name 177"/>
    <x v="1"/>
    <s v="Monitor"/>
    <n v="4000"/>
    <n v="6"/>
    <n v="24000"/>
    <n v="2400"/>
  </r>
  <r>
    <n v="178"/>
    <x v="158"/>
    <x v="0"/>
    <x v="139"/>
    <x v="0"/>
    <s v="Name 178"/>
    <x v="2"/>
    <s v="Printer"/>
    <n v="3200"/>
    <n v="1"/>
    <n v="3200"/>
    <n v="320"/>
  </r>
  <r>
    <n v="179"/>
    <x v="159"/>
    <x v="0"/>
    <x v="140"/>
    <x v="1"/>
    <s v="Name 179"/>
    <x v="3"/>
    <s v="Scanner"/>
    <n v="2900"/>
    <n v="3"/>
    <n v="8700"/>
    <n v="870"/>
  </r>
  <r>
    <n v="180"/>
    <x v="160"/>
    <x v="0"/>
    <x v="141"/>
    <x v="2"/>
    <s v="Name 180"/>
    <x v="4"/>
    <s v="Keyboard"/>
    <n v="190"/>
    <n v="4"/>
    <n v="760"/>
    <n v="76"/>
  </r>
  <r>
    <n v="181"/>
    <x v="161"/>
    <x v="0"/>
    <x v="142"/>
    <x v="1"/>
    <s v="Name 181"/>
    <x v="0"/>
    <s v="SSD 256 GB"/>
    <n v="4000"/>
    <n v="2"/>
    <n v="8000"/>
    <n v="800"/>
  </r>
  <r>
    <n v="182"/>
    <x v="162"/>
    <x v="0"/>
    <x v="143"/>
    <x v="2"/>
    <s v="Name 182"/>
    <x v="1"/>
    <s v="HDD 256 GB"/>
    <n v="1500"/>
    <n v="3"/>
    <n v="4500"/>
    <n v="450"/>
  </r>
  <r>
    <n v="183"/>
    <x v="163"/>
    <x v="0"/>
    <x v="144"/>
    <x v="3"/>
    <s v="Name 183"/>
    <x v="2"/>
    <s v="Mouse"/>
    <n v="210"/>
    <n v="12"/>
    <n v="2520"/>
    <n v="252"/>
  </r>
  <r>
    <n v="184"/>
    <x v="164"/>
    <x v="0"/>
    <x v="145"/>
    <x v="0"/>
    <s v="Name 184"/>
    <x v="3"/>
    <s v="Monitor"/>
    <n v="4000"/>
    <n v="5"/>
    <n v="20000"/>
    <n v="2000"/>
  </r>
  <r>
    <n v="185"/>
    <x v="165"/>
    <x v="0"/>
    <x v="145"/>
    <x v="1"/>
    <s v="Name 185"/>
    <x v="4"/>
    <s v="Printer"/>
    <n v="3200"/>
    <n v="12"/>
    <n v="38400"/>
    <n v="3840"/>
  </r>
  <r>
    <n v="191"/>
    <x v="166"/>
    <x v="0"/>
    <x v="146"/>
    <x v="2"/>
    <s v="Name 191"/>
    <x v="0"/>
    <s v="Monitor"/>
    <n v="4000"/>
    <n v="5"/>
    <n v="20000"/>
    <n v="2000"/>
  </r>
  <r>
    <n v="192"/>
    <x v="167"/>
    <x v="0"/>
    <x v="147"/>
    <x v="1"/>
    <s v="Name 192"/>
    <x v="1"/>
    <s v="Printer"/>
    <n v="3200"/>
    <n v="6"/>
    <n v="19200"/>
    <n v="1920"/>
  </r>
  <r>
    <n v="193"/>
    <x v="168"/>
    <x v="0"/>
    <x v="148"/>
    <x v="2"/>
    <s v="Name 193"/>
    <x v="2"/>
    <s v="Scanner"/>
    <n v="2900"/>
    <n v="5"/>
    <n v="14500"/>
    <n v="1450"/>
  </r>
  <r>
    <n v="194"/>
    <x v="169"/>
    <x v="0"/>
    <x v="149"/>
    <x v="3"/>
    <s v="Name 194"/>
    <x v="3"/>
    <s v="Keyboard"/>
    <n v="190"/>
    <n v="6"/>
    <n v="1140"/>
    <n v="114"/>
  </r>
  <r>
    <n v="195"/>
    <x v="170"/>
    <x v="0"/>
    <x v="150"/>
    <x v="0"/>
    <s v="Name 195"/>
    <x v="4"/>
    <s v="SSD 256 GB"/>
    <n v="4000"/>
    <n v="5"/>
    <n v="20000"/>
    <n v="2000"/>
  </r>
  <r>
    <n v="196"/>
    <x v="171"/>
    <x v="0"/>
    <x v="151"/>
    <x v="1"/>
    <s v="Name 196"/>
    <x v="0"/>
    <s v="HDD 256 GB"/>
    <n v="1500"/>
    <n v="6"/>
    <n v="9000"/>
    <n v="900"/>
  </r>
  <r>
    <n v="197"/>
    <x v="172"/>
    <x v="0"/>
    <x v="152"/>
    <x v="2"/>
    <s v="Name 197"/>
    <x v="1"/>
    <s v="Mouse"/>
    <n v="210"/>
    <n v="2"/>
    <n v="420"/>
    <n v="42"/>
  </r>
  <r>
    <n v="198"/>
    <x v="173"/>
    <x v="0"/>
    <x v="153"/>
    <x v="1"/>
    <s v="Name 198"/>
    <x v="2"/>
    <s v="Monitor"/>
    <n v="4000"/>
    <n v="3"/>
    <n v="12000"/>
    <n v="1200"/>
  </r>
  <r>
    <n v="199"/>
    <x v="174"/>
    <x v="0"/>
    <x v="154"/>
    <x v="2"/>
    <s v="Name 199"/>
    <x v="3"/>
    <s v="Printer"/>
    <n v="3200"/>
    <n v="5"/>
    <n v="16000"/>
    <n v="1600"/>
  </r>
  <r>
    <n v="200"/>
    <x v="175"/>
    <x v="0"/>
    <x v="155"/>
    <x v="2"/>
    <s v="Name 200"/>
    <x v="4"/>
    <s v="Scanner"/>
    <n v="2900"/>
    <n v="3"/>
    <n v="8700"/>
    <n v="870"/>
  </r>
  <r>
    <n v="201"/>
    <x v="176"/>
    <x v="0"/>
    <x v="156"/>
    <x v="2"/>
    <s v="Name 201"/>
    <x v="0"/>
    <s v="Keyboard"/>
    <n v="190"/>
    <n v="12"/>
    <n v="2280"/>
    <n v="228"/>
  </r>
  <r>
    <n v="202"/>
    <x v="177"/>
    <x v="0"/>
    <x v="157"/>
    <x v="2"/>
    <s v="Name 202"/>
    <x v="1"/>
    <s v="SSD 256 GB"/>
    <n v="4000"/>
    <n v="2"/>
    <n v="8000"/>
    <n v="800"/>
  </r>
  <r>
    <n v="203"/>
    <x v="178"/>
    <x v="0"/>
    <x v="158"/>
    <x v="2"/>
    <s v="Name 203"/>
    <x v="2"/>
    <s v="HDD 256 GB"/>
    <n v="1500"/>
    <n v="3"/>
    <n v="4500"/>
    <n v="450"/>
  </r>
  <r>
    <n v="204"/>
    <x v="179"/>
    <x v="0"/>
    <x v="159"/>
    <x v="1"/>
    <s v="Name 204"/>
    <x v="3"/>
    <s v="Mouse"/>
    <n v="210"/>
    <n v="7"/>
    <n v="1470"/>
    <n v="147"/>
  </r>
  <r>
    <n v="205"/>
    <x v="180"/>
    <x v="0"/>
    <x v="160"/>
    <x v="2"/>
    <s v="Name 205"/>
    <x v="4"/>
    <s v="Monitor"/>
    <n v="4000"/>
    <n v="6"/>
    <n v="24000"/>
    <n v="2400"/>
  </r>
  <r>
    <n v="206"/>
    <x v="181"/>
    <x v="0"/>
    <x v="161"/>
    <x v="3"/>
    <s v="Name 206"/>
    <x v="0"/>
    <s v="Printer"/>
    <n v="3200"/>
    <n v="1"/>
    <n v="3200"/>
    <n v="320"/>
  </r>
  <r>
    <n v="207"/>
    <x v="182"/>
    <x v="0"/>
    <x v="162"/>
    <x v="0"/>
    <s v="Name 207"/>
    <x v="1"/>
    <s v="Scanner"/>
    <n v="2900"/>
    <n v="3"/>
    <n v="8700"/>
    <n v="870"/>
  </r>
  <r>
    <n v="208"/>
    <x v="183"/>
    <x v="0"/>
    <x v="163"/>
    <x v="1"/>
    <s v="Name 208"/>
    <x v="2"/>
    <s v="Keyboard"/>
    <n v="190"/>
    <n v="4"/>
    <n v="760"/>
    <n v="76"/>
  </r>
  <r>
    <n v="209"/>
    <x v="184"/>
    <x v="0"/>
    <x v="164"/>
    <x v="2"/>
    <s v="Name 209"/>
    <x v="3"/>
    <s v="SSD 256 GB"/>
    <n v="4000"/>
    <n v="2"/>
    <n v="8000"/>
    <n v="800"/>
  </r>
  <r>
    <n v="210"/>
    <x v="185"/>
    <x v="0"/>
    <x v="165"/>
    <x v="1"/>
    <s v="Name 210"/>
    <x v="4"/>
    <s v="HDD 256 GB"/>
    <n v="1500"/>
    <n v="3"/>
    <n v="4500"/>
    <n v="450"/>
  </r>
  <r>
    <n v="211"/>
    <x v="186"/>
    <x v="0"/>
    <x v="166"/>
    <x v="2"/>
    <s v="Name 211"/>
    <x v="0"/>
    <s v="Mouse"/>
    <n v="210"/>
    <n v="4"/>
    <n v="840"/>
    <n v="84"/>
  </r>
  <r>
    <n v="212"/>
    <x v="187"/>
    <x v="0"/>
    <x v="167"/>
    <x v="3"/>
    <s v="Name 212"/>
    <x v="1"/>
    <s v="Monitor"/>
    <n v="4000"/>
    <n v="5"/>
    <n v="20000"/>
    <n v="2000"/>
  </r>
  <r>
    <n v="213"/>
    <x v="188"/>
    <x v="0"/>
    <x v="168"/>
    <x v="0"/>
    <s v="Name 213"/>
    <x v="2"/>
    <s v="Printer"/>
    <n v="3200"/>
    <n v="6"/>
    <n v="19200"/>
    <n v="1920"/>
  </r>
  <r>
    <n v="214"/>
    <x v="189"/>
    <x v="0"/>
    <x v="169"/>
    <x v="1"/>
    <s v="Name 214"/>
    <x v="3"/>
    <s v="Scanner"/>
    <n v="2900"/>
    <n v="5"/>
    <n v="14500"/>
    <n v="1450"/>
  </r>
  <r>
    <n v="214"/>
    <x v="190"/>
    <x v="0"/>
    <x v="170"/>
    <x v="2"/>
    <s v="Name 215"/>
    <x v="4"/>
    <s v="Keyboard"/>
    <n v="190"/>
    <n v="4"/>
    <n v="760"/>
    <n v="76"/>
  </r>
  <r>
    <n v="214"/>
    <x v="191"/>
    <x v="0"/>
    <x v="171"/>
    <x v="1"/>
    <s v="Name 216"/>
    <x v="0"/>
    <s v="SSD 256 GB"/>
    <n v="4000"/>
    <n v="10"/>
    <n v="40000"/>
    <n v="4000"/>
  </r>
  <r>
    <n v="224"/>
    <x v="192"/>
    <x v="0"/>
    <x v="172"/>
    <x v="2"/>
    <s v="Name 224"/>
    <x v="1"/>
    <s v="HDD 256 GB"/>
    <n v="1500"/>
    <n v="6"/>
    <n v="9000"/>
    <n v="900"/>
  </r>
  <r>
    <n v="225"/>
    <x v="193"/>
    <x v="0"/>
    <x v="172"/>
    <x v="3"/>
    <s v="Name 225"/>
    <x v="2"/>
    <s v="Mouse"/>
    <n v="210"/>
    <n v="2"/>
    <n v="420"/>
    <n v="42"/>
  </r>
  <r>
    <n v="226"/>
    <x v="194"/>
    <x v="0"/>
    <x v="172"/>
    <x v="0"/>
    <s v="Name 226"/>
    <x v="3"/>
    <s v="Monitor"/>
    <n v="4000"/>
    <n v="3"/>
    <n v="12000"/>
    <n v="1200"/>
  </r>
  <r>
    <n v="227"/>
    <x v="195"/>
    <x v="0"/>
    <x v="173"/>
    <x v="1"/>
    <s v="Name 227"/>
    <x v="4"/>
    <s v="Printer"/>
    <n v="3200"/>
    <n v="5"/>
    <n v="16000"/>
    <n v="1600"/>
  </r>
  <r>
    <n v="228"/>
    <x v="196"/>
    <x v="0"/>
    <x v="174"/>
    <x v="2"/>
    <s v="Name 228"/>
    <x v="0"/>
    <s v="Scanner"/>
    <n v="2900"/>
    <n v="3"/>
    <n v="8700"/>
    <n v="870"/>
  </r>
  <r>
    <n v="234"/>
    <x v="197"/>
    <x v="0"/>
    <x v="175"/>
    <x v="2"/>
    <s v="Name 234"/>
    <x v="1"/>
    <s v="Printer"/>
    <n v="3200"/>
    <n v="1"/>
    <n v="3200"/>
    <n v="320"/>
  </r>
  <r>
    <n v="234"/>
    <x v="198"/>
    <x v="0"/>
    <x v="176"/>
    <x v="1"/>
    <s v="Name 235"/>
    <x v="2"/>
    <s v="Scanner"/>
    <n v="2900"/>
    <n v="3"/>
    <n v="8700"/>
    <n v="870"/>
  </r>
  <r>
    <n v="234"/>
    <x v="199"/>
    <x v="0"/>
    <x v="177"/>
    <x v="2"/>
    <s v="Name 236"/>
    <x v="3"/>
    <s v="Keyboard"/>
    <n v="190"/>
    <n v="4"/>
    <n v="760"/>
    <n v="76"/>
  </r>
  <r>
    <n v="234"/>
    <x v="200"/>
    <x v="0"/>
    <x v="178"/>
    <x v="3"/>
    <s v="Name 237"/>
    <x v="3"/>
    <s v="SSD 256 GB"/>
    <n v="4000"/>
    <n v="2"/>
    <n v="8000"/>
    <n v="800"/>
  </r>
  <r>
    <n v="234"/>
    <x v="201"/>
    <x v="0"/>
    <x v="179"/>
    <x v="0"/>
    <s v="Name 238"/>
    <x v="3"/>
    <s v="HDD 256 GB"/>
    <n v="1500"/>
    <n v="3"/>
    <n v="4500"/>
    <n v="450"/>
  </r>
  <r>
    <n v="239"/>
    <x v="202"/>
    <x v="0"/>
    <x v="180"/>
    <x v="1"/>
    <s v="Name 239"/>
    <x v="3"/>
    <s v="Mouse"/>
    <n v="210"/>
    <n v="4"/>
    <n v="840"/>
    <n v="84"/>
  </r>
  <r>
    <n v="240"/>
    <x v="203"/>
    <x v="0"/>
    <x v="181"/>
    <x v="2"/>
    <s v="Name 240"/>
    <x v="3"/>
    <s v="Monitor"/>
    <n v="4000"/>
    <n v="5"/>
    <n v="20000"/>
    <n v="2000"/>
  </r>
  <r>
    <n v="241"/>
    <x v="204"/>
    <x v="0"/>
    <x v="182"/>
    <x v="1"/>
    <s v="Name 241"/>
    <x v="3"/>
    <s v="Printer"/>
    <n v="3200"/>
    <n v="6"/>
    <n v="19200"/>
    <n v="1920"/>
  </r>
  <r>
    <n v="242"/>
    <x v="205"/>
    <x v="0"/>
    <x v="183"/>
    <x v="2"/>
    <s v="Name 242"/>
    <x v="3"/>
    <s v="Scanner"/>
    <n v="2900"/>
    <n v="5"/>
    <n v="14500"/>
    <n v="1450"/>
  </r>
  <r>
    <n v="243"/>
    <x v="206"/>
    <x v="0"/>
    <x v="184"/>
    <x v="3"/>
    <s v="Name 243"/>
    <x v="3"/>
    <s v="Keyboard"/>
    <n v="190"/>
    <n v="4"/>
    <n v="760"/>
    <n v="76"/>
  </r>
  <r>
    <n v="244"/>
    <x v="207"/>
    <x v="0"/>
    <x v="185"/>
    <x v="3"/>
    <s v="Name 244"/>
    <x v="3"/>
    <s v="SSD 256 GB"/>
    <n v="4000"/>
    <n v="10"/>
    <n v="40000"/>
    <n v="4000"/>
  </r>
  <r>
    <n v="245"/>
    <x v="208"/>
    <x v="0"/>
    <x v="186"/>
    <x v="3"/>
    <s v="Name 245"/>
    <x v="2"/>
    <s v="HDD 256 GB"/>
    <n v="1500"/>
    <n v="30"/>
    <n v="45000"/>
    <n v="4500"/>
  </r>
  <r>
    <n v="246"/>
    <x v="209"/>
    <x v="0"/>
    <x v="187"/>
    <x v="3"/>
    <s v="Name 246"/>
    <x v="3"/>
    <s v="Mouse"/>
    <n v="210"/>
    <n v="4"/>
    <n v="840"/>
    <n v="84"/>
  </r>
  <r>
    <n v="247"/>
    <x v="210"/>
    <x v="0"/>
    <x v="188"/>
    <x v="3"/>
    <s v="Name 247"/>
    <x v="4"/>
    <s v="Monitor"/>
    <n v="4000"/>
    <n v="5"/>
    <n v="20000"/>
    <n v="2000"/>
  </r>
  <r>
    <n v="248"/>
    <x v="211"/>
    <x v="0"/>
    <x v="189"/>
    <x v="3"/>
    <s v="Name 248"/>
    <x v="0"/>
    <s v="Printer"/>
    <n v="3200"/>
    <n v="6"/>
    <n v="19200"/>
    <n v="1920"/>
  </r>
  <r>
    <n v="249"/>
    <x v="212"/>
    <x v="0"/>
    <x v="189"/>
    <x v="3"/>
    <s v="Name 249"/>
    <x v="1"/>
    <s v="Scanner"/>
    <n v="2900"/>
    <n v="5"/>
    <n v="14500"/>
    <n v="1450"/>
  </r>
  <r>
    <n v="250"/>
    <x v="213"/>
    <x v="0"/>
    <x v="189"/>
    <x v="0"/>
    <s v="Name 250"/>
    <x v="2"/>
    <s v="Keyboard"/>
    <n v="190"/>
    <n v="6"/>
    <n v="1140"/>
    <n v="114"/>
  </r>
  <r>
    <n v="251"/>
    <x v="214"/>
    <x v="0"/>
    <x v="189"/>
    <x v="1"/>
    <s v="Name 251"/>
    <x v="3"/>
    <s v="SSD 256 GB"/>
    <n v="4000"/>
    <n v="5"/>
    <n v="20000"/>
    <n v="2000"/>
  </r>
  <r>
    <n v="252"/>
    <x v="215"/>
    <x v="0"/>
    <x v="189"/>
    <x v="2"/>
    <s v="Name 252"/>
    <x v="4"/>
    <s v="HDD 256 GB"/>
    <n v="1500"/>
    <n v="6"/>
    <n v="9000"/>
    <n v="900"/>
  </r>
  <r>
    <n v="253"/>
    <x v="216"/>
    <x v="0"/>
    <x v="190"/>
    <x v="1"/>
    <s v="Name 253"/>
    <x v="0"/>
    <s v="Mouse"/>
    <n v="210"/>
    <n v="2"/>
    <n v="420"/>
    <n v="42"/>
  </r>
  <r>
    <n v="254"/>
    <x v="217"/>
    <x v="0"/>
    <x v="191"/>
    <x v="2"/>
    <s v="Name 254"/>
    <x v="1"/>
    <s v="Monitor"/>
    <n v="4000"/>
    <n v="3"/>
    <n v="12000"/>
    <n v="1200"/>
  </r>
  <r>
    <n v="255"/>
    <x v="218"/>
    <x v="0"/>
    <x v="192"/>
    <x v="3"/>
    <s v="Name 255"/>
    <x v="2"/>
    <s v="Printer"/>
    <n v="3200"/>
    <n v="5"/>
    <n v="16000"/>
    <n v="1600"/>
  </r>
  <r>
    <n v="256"/>
    <x v="219"/>
    <x v="0"/>
    <x v="193"/>
    <x v="0"/>
    <s v="Name 256"/>
    <x v="3"/>
    <s v="Scanner"/>
    <n v="2900"/>
    <n v="3"/>
    <n v="8700"/>
    <n v="870"/>
  </r>
  <r>
    <n v="257"/>
    <x v="220"/>
    <x v="0"/>
    <x v="194"/>
    <x v="1"/>
    <s v="Name 257"/>
    <x v="4"/>
    <s v="Keyboard"/>
    <n v="190"/>
    <n v="1"/>
    <n v="190"/>
    <n v="19"/>
  </r>
  <r>
    <n v="258"/>
    <x v="221"/>
    <x v="0"/>
    <x v="195"/>
    <x v="2"/>
    <s v="Name 258"/>
    <x v="0"/>
    <s v="SSD 256 GB"/>
    <n v="4000"/>
    <n v="2"/>
    <n v="8000"/>
    <n v="800"/>
  </r>
  <r>
    <n v="259"/>
    <x v="222"/>
    <x v="0"/>
    <x v="196"/>
    <x v="1"/>
    <s v="Name 259"/>
    <x v="1"/>
    <s v="HDD 256 GB"/>
    <n v="1500"/>
    <n v="3"/>
    <n v="4500"/>
    <n v="450"/>
  </r>
  <r>
    <n v="260"/>
    <x v="223"/>
    <x v="0"/>
    <x v="197"/>
    <x v="2"/>
    <s v="Name 260"/>
    <x v="2"/>
    <s v="Mouse"/>
    <n v="210"/>
    <n v="7"/>
    <n v="1470"/>
    <n v="147"/>
  </r>
  <r>
    <n v="261"/>
    <x v="224"/>
    <x v="0"/>
    <x v="198"/>
    <x v="3"/>
    <s v="Name 261"/>
    <x v="3"/>
    <s v="Monitor"/>
    <n v="4000"/>
    <n v="6"/>
    <n v="24000"/>
    <n v="2400"/>
  </r>
  <r>
    <n v="262"/>
    <x v="225"/>
    <x v="0"/>
    <x v="199"/>
    <x v="0"/>
    <s v="Name 262"/>
    <x v="4"/>
    <s v="Printer"/>
    <n v="3200"/>
    <n v="1"/>
    <n v="3200"/>
    <n v="320"/>
  </r>
  <r>
    <n v="263"/>
    <x v="226"/>
    <x v="0"/>
    <x v="200"/>
    <x v="1"/>
    <s v="Name 263"/>
    <x v="0"/>
    <s v="Scanner"/>
    <n v="2900"/>
    <n v="3"/>
    <n v="8700"/>
    <n v="870"/>
  </r>
  <r>
    <n v="272"/>
    <x v="227"/>
    <x v="0"/>
    <x v="201"/>
    <x v="2"/>
    <s v="Name 272"/>
    <x v="4"/>
    <s v="SSD 256 GB"/>
    <n v="4000"/>
    <n v="10"/>
    <n v="40000"/>
    <n v="4000"/>
  </r>
  <r>
    <n v="273"/>
    <x v="228"/>
    <x v="0"/>
    <x v="202"/>
    <x v="3"/>
    <s v="Name 273"/>
    <x v="0"/>
    <s v="HDD 256 GB"/>
    <n v="1500"/>
    <n v="3"/>
    <n v="4500"/>
    <n v="450"/>
  </r>
  <r>
    <n v="274"/>
    <x v="229"/>
    <x v="0"/>
    <x v="203"/>
    <x v="0"/>
    <s v="Name 274"/>
    <x v="1"/>
    <s v="Mouse"/>
    <n v="210"/>
    <n v="4"/>
    <n v="840"/>
    <n v="84"/>
  </r>
  <r>
    <n v="275"/>
    <x v="230"/>
    <x v="0"/>
    <x v="204"/>
    <x v="1"/>
    <s v="Name 275"/>
    <x v="2"/>
    <s v="Monitor"/>
    <n v="4000"/>
    <n v="5"/>
    <n v="20000"/>
    <n v="2000"/>
  </r>
  <r>
    <n v="276"/>
    <x v="231"/>
    <x v="0"/>
    <x v="205"/>
    <x v="2"/>
    <s v="Name 276"/>
    <x v="3"/>
    <s v="Printer"/>
    <n v="3200"/>
    <n v="6"/>
    <n v="19200"/>
    <n v="1920"/>
  </r>
  <r>
    <n v="277"/>
    <x v="232"/>
    <x v="0"/>
    <x v="206"/>
    <x v="1"/>
    <s v="Name 277"/>
    <x v="4"/>
    <s v="Scanner"/>
    <n v="2900"/>
    <n v="5"/>
    <n v="14500"/>
    <n v="1450"/>
  </r>
  <r>
    <n v="278"/>
    <x v="233"/>
    <x v="0"/>
    <x v="206"/>
    <x v="2"/>
    <s v="Name 278"/>
    <x v="0"/>
    <s v="Keyboard"/>
    <n v="190"/>
    <n v="6"/>
    <n v="1140"/>
    <n v="114"/>
  </r>
  <r>
    <n v="281"/>
    <x v="234"/>
    <x v="0"/>
    <x v="206"/>
    <x v="3"/>
    <s v="Name 281"/>
    <x v="1"/>
    <s v="Mouse"/>
    <n v="210"/>
    <n v="20"/>
    <n v="4200"/>
    <n v="420"/>
  </r>
  <r>
    <n v="281"/>
    <x v="235"/>
    <x v="0"/>
    <x v="206"/>
    <x v="0"/>
    <s v="Name 282"/>
    <x v="2"/>
    <s v="Monitor"/>
    <n v="4000"/>
    <n v="3"/>
    <n v="12000"/>
    <n v="1200"/>
  </r>
  <r>
    <n v="281"/>
    <x v="236"/>
    <x v="0"/>
    <x v="206"/>
    <x v="1"/>
    <s v="Name 283"/>
    <x v="3"/>
    <s v="Printer"/>
    <n v="3200"/>
    <n v="5"/>
    <n v="16000"/>
    <n v="1600"/>
  </r>
  <r>
    <n v="281"/>
    <x v="237"/>
    <x v="0"/>
    <x v="206"/>
    <x v="2"/>
    <s v="Name 284"/>
    <x v="4"/>
    <s v="Scanner"/>
    <n v="2900"/>
    <n v="3"/>
    <n v="8700"/>
    <n v="870"/>
  </r>
  <r>
    <n v="285"/>
    <x v="238"/>
    <x v="0"/>
    <x v="207"/>
    <x v="1"/>
    <s v="Name 285"/>
    <x v="0"/>
    <s v="Keyboard"/>
    <n v="190"/>
    <n v="10"/>
    <n v="1900"/>
    <n v="190"/>
  </r>
  <r>
    <n v="286"/>
    <x v="239"/>
    <x v="0"/>
    <x v="208"/>
    <x v="2"/>
    <s v="Name 286"/>
    <x v="1"/>
    <s v="SSD 256 GB"/>
    <n v="4000"/>
    <n v="2"/>
    <n v="8000"/>
    <n v="800"/>
  </r>
  <r>
    <n v="287"/>
    <x v="240"/>
    <x v="0"/>
    <x v="209"/>
    <x v="3"/>
    <s v="Name 287"/>
    <x v="2"/>
    <s v="HDD 256 GB"/>
    <n v="1500"/>
    <n v="3"/>
    <n v="4500"/>
    <n v="450"/>
  </r>
  <r>
    <n v="288"/>
    <x v="241"/>
    <x v="0"/>
    <x v="210"/>
    <x v="0"/>
    <s v="Name 288"/>
    <x v="3"/>
    <s v="Mouse"/>
    <n v="210"/>
    <n v="7"/>
    <n v="1470"/>
    <n v="147"/>
  </r>
  <r>
    <n v="289"/>
    <x v="242"/>
    <x v="0"/>
    <x v="211"/>
    <x v="1"/>
    <s v="Name 289"/>
    <x v="4"/>
    <s v="Monitor"/>
    <n v="4000"/>
    <n v="6"/>
    <n v="24000"/>
    <n v="2400"/>
  </r>
  <r>
    <n v="290"/>
    <x v="243"/>
    <x v="0"/>
    <x v="212"/>
    <x v="2"/>
    <s v="Name 290"/>
    <x v="0"/>
    <s v="Printer"/>
    <n v="3200"/>
    <n v="1"/>
    <n v="3200"/>
    <n v="320"/>
  </r>
  <r>
    <n v="291"/>
    <x v="244"/>
    <x v="0"/>
    <x v="213"/>
    <x v="1"/>
    <s v="Name 291"/>
    <x v="1"/>
    <s v="Scanner"/>
    <n v="2900"/>
    <n v="3"/>
    <n v="8700"/>
    <n v="870"/>
  </r>
  <r>
    <n v="292"/>
    <x v="245"/>
    <x v="0"/>
    <x v="214"/>
    <x v="2"/>
    <s v="Name 292"/>
    <x v="2"/>
    <s v="Keyboard"/>
    <n v="190"/>
    <n v="4"/>
    <n v="760"/>
    <n v="76"/>
  </r>
  <r>
    <n v="293"/>
    <x v="246"/>
    <x v="0"/>
    <x v="215"/>
    <x v="3"/>
    <s v="Name 293"/>
    <x v="3"/>
    <s v="SSD 256 GB"/>
    <n v="4000"/>
    <n v="2"/>
    <n v="8000"/>
    <n v="800"/>
  </r>
  <r>
    <n v="294"/>
    <x v="247"/>
    <x v="0"/>
    <x v="216"/>
    <x v="0"/>
    <s v="Name 294"/>
    <x v="4"/>
    <s v="HDD 256 GB"/>
    <n v="1500"/>
    <n v="3"/>
    <n v="4500"/>
    <n v="450"/>
  </r>
  <r>
    <n v="295"/>
    <x v="248"/>
    <x v="0"/>
    <x v="217"/>
    <x v="1"/>
    <s v="Name 295"/>
    <x v="0"/>
    <s v="Mouse"/>
    <n v="210"/>
    <n v="4"/>
    <n v="840"/>
    <n v="84"/>
  </r>
  <r>
    <n v="296"/>
    <x v="249"/>
    <x v="0"/>
    <x v="218"/>
    <x v="1"/>
    <s v="Name 296"/>
    <x v="1"/>
    <s v="Monitor"/>
    <n v="4000"/>
    <n v="5"/>
    <n v="20000"/>
    <n v="2000"/>
  </r>
  <r>
    <n v="297"/>
    <x v="250"/>
    <x v="0"/>
    <x v="219"/>
    <x v="1"/>
    <s v="Name 297"/>
    <x v="2"/>
    <s v="Printer"/>
    <n v="3200"/>
    <n v="6"/>
    <n v="19200"/>
    <n v="1920"/>
  </r>
  <r>
    <n v="298"/>
    <x v="251"/>
    <x v="0"/>
    <x v="220"/>
    <x v="1"/>
    <s v="Name 298"/>
    <x v="2"/>
    <s v="Scanner"/>
    <n v="2900"/>
    <n v="5"/>
    <n v="14500"/>
    <n v="1450"/>
  </r>
  <r>
    <n v="307"/>
    <x v="252"/>
    <x v="0"/>
    <x v="221"/>
    <x v="1"/>
    <s v="Name 307"/>
    <x v="2"/>
    <s v="SSD 256 GB"/>
    <n v="4000"/>
    <n v="5"/>
    <n v="20000"/>
    <n v="2000"/>
  </r>
  <r>
    <n v="308"/>
    <x v="253"/>
    <x v="0"/>
    <x v="222"/>
    <x v="2"/>
    <s v="Name 308"/>
    <x v="2"/>
    <s v="HDD 256 GB"/>
    <n v="1500"/>
    <n v="6"/>
    <n v="9000"/>
    <n v="900"/>
  </r>
  <r>
    <n v="316"/>
    <x v="254"/>
    <x v="0"/>
    <x v="223"/>
    <x v="1"/>
    <s v="Name 316"/>
    <x v="2"/>
    <s v="Mouse"/>
    <n v="210"/>
    <n v="7"/>
    <n v="1470"/>
    <n v="147"/>
  </r>
  <r>
    <n v="317"/>
    <x v="255"/>
    <x v="0"/>
    <x v="224"/>
    <x v="2"/>
    <s v="Name 317"/>
    <x v="0"/>
    <s v="Monitor"/>
    <n v="4000"/>
    <n v="6"/>
    <n v="24000"/>
    <n v="2400"/>
  </r>
  <r>
    <n v="318"/>
    <x v="256"/>
    <x v="0"/>
    <x v="225"/>
    <x v="3"/>
    <s v="Name 318"/>
    <x v="1"/>
    <s v="Printer"/>
    <n v="3200"/>
    <n v="10"/>
    <n v="32000"/>
    <n v="3200"/>
  </r>
  <r>
    <n v="319"/>
    <x v="257"/>
    <x v="0"/>
    <x v="226"/>
    <x v="0"/>
    <s v="Name 319"/>
    <x v="2"/>
    <s v="Scanner"/>
    <n v="2900"/>
    <n v="3"/>
    <n v="8700"/>
    <n v="870"/>
  </r>
  <r>
    <n v="320"/>
    <x v="258"/>
    <x v="0"/>
    <x v="227"/>
    <x v="1"/>
    <s v="Name 320"/>
    <x v="3"/>
    <s v="Keyboard"/>
    <n v="190"/>
    <n v="4"/>
    <n v="760"/>
    <n v="76"/>
  </r>
  <r>
    <n v="321"/>
    <x v="259"/>
    <x v="0"/>
    <x v="228"/>
    <x v="2"/>
    <s v="Name 321"/>
    <x v="4"/>
    <s v="SSD 256 GB"/>
    <n v="4000"/>
    <n v="2"/>
    <n v="8000"/>
    <n v="800"/>
  </r>
  <r>
    <n v="322"/>
    <x v="260"/>
    <x v="0"/>
    <x v="229"/>
    <x v="1"/>
    <s v="Name 322"/>
    <x v="0"/>
    <s v="HDD 256 GB"/>
    <n v="1500"/>
    <n v="30"/>
    <n v="45000"/>
    <n v="4500"/>
  </r>
  <r>
    <n v="323"/>
    <x v="261"/>
    <x v="0"/>
    <x v="230"/>
    <x v="2"/>
    <s v="Name 323"/>
    <x v="1"/>
    <s v="Mouse"/>
    <n v="210"/>
    <n v="4"/>
    <n v="840"/>
    <n v="84"/>
  </r>
  <r>
    <n v="324"/>
    <x v="262"/>
    <x v="0"/>
    <x v="231"/>
    <x v="3"/>
    <s v="Name 324"/>
    <x v="2"/>
    <s v="Monitor"/>
    <n v="4000"/>
    <n v="5"/>
    <n v="20000"/>
    <n v="2000"/>
  </r>
  <r>
    <n v="325"/>
    <x v="263"/>
    <x v="0"/>
    <x v="232"/>
    <x v="0"/>
    <s v="Name 325"/>
    <x v="3"/>
    <s v="Printer"/>
    <n v="3200"/>
    <n v="6"/>
    <n v="19200"/>
    <n v="1920"/>
  </r>
  <r>
    <n v="326"/>
    <x v="264"/>
    <x v="0"/>
    <x v="233"/>
    <x v="1"/>
    <s v="Name 326"/>
    <x v="4"/>
    <s v="Scanner"/>
    <n v="2900"/>
    <n v="5"/>
    <n v="14500"/>
    <n v="1450"/>
  </r>
  <r>
    <n v="321"/>
    <x v="265"/>
    <x v="0"/>
    <x v="234"/>
    <x v="2"/>
    <s v="Name 327"/>
    <x v="0"/>
    <s v="Keyboard"/>
    <n v="190"/>
    <n v="4"/>
    <n v="760"/>
    <n v="76"/>
  </r>
  <r>
    <n v="322"/>
    <x v="266"/>
    <x v="0"/>
    <x v="235"/>
    <x v="1"/>
    <s v="Name 328"/>
    <x v="1"/>
    <s v="SSD 256 GB"/>
    <n v="4000"/>
    <n v="10"/>
    <n v="40000"/>
    <n v="4000"/>
  </r>
  <r>
    <n v="323"/>
    <x v="267"/>
    <x v="0"/>
    <x v="236"/>
    <x v="2"/>
    <s v="Name 329"/>
    <x v="2"/>
    <s v="HDD 256 GB"/>
    <n v="1500"/>
    <n v="3"/>
    <n v="4500"/>
    <n v="450"/>
  </r>
  <r>
    <n v="334"/>
    <x v="268"/>
    <x v="0"/>
    <x v="237"/>
    <x v="3"/>
    <s v="Name 334"/>
    <x v="2"/>
    <s v="Keyboard"/>
    <n v="190"/>
    <n v="6"/>
    <n v="1140"/>
    <n v="114"/>
  </r>
  <r>
    <n v="335"/>
    <x v="269"/>
    <x v="0"/>
    <x v="238"/>
    <x v="0"/>
    <s v="Name 335"/>
    <x v="2"/>
    <s v="SSD 256 GB"/>
    <n v="4000"/>
    <n v="5"/>
    <n v="20000"/>
    <n v="2000"/>
  </r>
  <r>
    <n v="336"/>
    <x v="270"/>
    <x v="0"/>
    <x v="239"/>
    <x v="1"/>
    <s v="Name 336"/>
    <x v="2"/>
    <s v="HDD 256 GB"/>
    <n v="1500"/>
    <n v="6"/>
    <n v="9000"/>
    <n v="900"/>
  </r>
  <r>
    <n v="337"/>
    <x v="271"/>
    <x v="0"/>
    <x v="240"/>
    <x v="1"/>
    <s v="Name 337"/>
    <x v="2"/>
    <s v="Mouse"/>
    <n v="210"/>
    <n v="2"/>
    <n v="420"/>
    <n v="42"/>
  </r>
  <r>
    <n v="338"/>
    <x v="272"/>
    <x v="0"/>
    <x v="241"/>
    <x v="1"/>
    <s v="Name 338"/>
    <x v="2"/>
    <s v="Monitor"/>
    <n v="4000"/>
    <n v="3"/>
    <n v="12000"/>
    <n v="1200"/>
  </r>
  <r>
    <n v="339"/>
    <x v="273"/>
    <x v="0"/>
    <x v="242"/>
    <x v="1"/>
    <s v="Name 339"/>
    <x v="3"/>
    <s v="Printer"/>
    <n v="3200"/>
    <n v="5"/>
    <n v="16000"/>
    <n v="1600"/>
  </r>
  <r>
    <n v="340"/>
    <x v="274"/>
    <x v="0"/>
    <x v="243"/>
    <x v="1"/>
    <s v="Name 340"/>
    <x v="4"/>
    <s v="Scanner"/>
    <n v="2900"/>
    <n v="3"/>
    <n v="8700"/>
    <n v="870"/>
  </r>
  <r>
    <n v="341"/>
    <x v="275"/>
    <x v="0"/>
    <x v="244"/>
    <x v="1"/>
    <s v="Name 341"/>
    <x v="0"/>
    <s v="Keyboard"/>
    <n v="190"/>
    <n v="1"/>
    <n v="190"/>
    <n v="19"/>
  </r>
  <r>
    <n v="342"/>
    <x v="276"/>
    <x v="0"/>
    <x v="245"/>
    <x v="1"/>
    <s v="Name 342"/>
    <x v="1"/>
    <s v="SSD 256 GB"/>
    <n v="4000"/>
    <n v="2"/>
    <n v="8000"/>
    <n v="800"/>
  </r>
  <r>
    <n v="343"/>
    <x v="277"/>
    <x v="0"/>
    <x v="246"/>
    <x v="1"/>
    <s v="Name 343"/>
    <x v="2"/>
    <s v="HDD 256 GB"/>
    <n v="1500"/>
    <n v="3"/>
    <n v="4500"/>
    <n v="450"/>
  </r>
  <r>
    <n v="344"/>
    <x v="278"/>
    <x v="0"/>
    <x v="247"/>
    <x v="1"/>
    <s v="Name 344"/>
    <x v="3"/>
    <s v="Mouse"/>
    <n v="210"/>
    <n v="0"/>
    <n v="0"/>
    <n v="0"/>
  </r>
  <r>
    <n v="345"/>
    <x v="279"/>
    <x v="0"/>
    <x v="248"/>
    <x v="2"/>
    <s v="Name 345"/>
    <x v="4"/>
    <s v="Monitor"/>
    <n v="4000"/>
    <n v="80"/>
    <n v="320000"/>
    <n v="32000"/>
  </r>
  <r>
    <n v="346"/>
    <x v="280"/>
    <x v="0"/>
    <x v="249"/>
    <x v="3"/>
    <s v="Name 346"/>
    <x v="0"/>
    <s v="Printer"/>
    <n v="3200"/>
    <n v="10"/>
    <n v="32000"/>
    <n v="3200"/>
  </r>
  <r>
    <n v="347"/>
    <x v="281"/>
    <x v="0"/>
    <x v="249"/>
    <x v="0"/>
    <s v="Name 347"/>
    <x v="1"/>
    <s v="Scanner"/>
    <n v="2900"/>
    <n v="3"/>
    <n v="8700"/>
    <n v="870"/>
  </r>
  <r>
    <n v="348"/>
    <x v="282"/>
    <x v="0"/>
    <x v="249"/>
    <x v="1"/>
    <s v="Name 348"/>
    <x v="2"/>
    <s v="Keyboard"/>
    <n v="190"/>
    <n v="4"/>
    <n v="760"/>
    <n v="76"/>
  </r>
  <r>
    <n v="349"/>
    <x v="283"/>
    <x v="0"/>
    <x v="249"/>
    <x v="2"/>
    <s v="Name 349"/>
    <x v="3"/>
    <s v="SSD 256 GB"/>
    <n v="4000"/>
    <n v="2"/>
    <n v="8000"/>
    <n v="800"/>
  </r>
  <r>
    <n v="350"/>
    <x v="284"/>
    <x v="0"/>
    <x v="249"/>
    <x v="1"/>
    <s v="Name 350"/>
    <x v="4"/>
    <s v="HDD 256 GB"/>
    <n v="1500"/>
    <n v="3"/>
    <n v="4500"/>
    <n v="450"/>
  </r>
  <r>
    <n v="351"/>
    <x v="285"/>
    <x v="0"/>
    <x v="250"/>
    <x v="2"/>
    <s v="Name 351"/>
    <x v="0"/>
    <s v="Mouse"/>
    <n v="210"/>
    <n v="4"/>
    <n v="840"/>
    <n v="84"/>
  </r>
  <r>
    <n v="352"/>
    <x v="286"/>
    <x v="0"/>
    <x v="251"/>
    <x v="3"/>
    <s v="Name 352"/>
    <x v="1"/>
    <s v="Monitor"/>
    <n v="4000"/>
    <n v="5"/>
    <n v="20000"/>
    <n v="2000"/>
  </r>
  <r>
    <n v="353"/>
    <x v="287"/>
    <x v="0"/>
    <x v="252"/>
    <x v="0"/>
    <s v="Name 353"/>
    <x v="2"/>
    <s v="Printer"/>
    <n v="3200"/>
    <n v="6"/>
    <n v="19200"/>
    <n v="1920"/>
  </r>
  <r>
    <n v="362"/>
    <x v="288"/>
    <x v="0"/>
    <x v="253"/>
    <x v="1"/>
    <s v="Name 362"/>
    <x v="3"/>
    <s v="Keyboard"/>
    <n v="190"/>
    <n v="6"/>
    <n v="1140"/>
    <n v="114"/>
  </r>
  <r>
    <n v="363"/>
    <x v="289"/>
    <x v="0"/>
    <x v="254"/>
    <x v="2"/>
    <s v="Name 363"/>
    <x v="4"/>
    <s v="SSD 256 GB"/>
    <n v="4000"/>
    <n v="5"/>
    <n v="20000"/>
    <n v="2000"/>
  </r>
  <r>
    <n v="364"/>
    <x v="290"/>
    <x v="0"/>
    <x v="255"/>
    <x v="1"/>
    <s v="Name 364"/>
    <x v="0"/>
    <s v="HDD 256 GB"/>
    <n v="1500"/>
    <n v="6"/>
    <n v="9000"/>
    <n v="900"/>
  </r>
  <r>
    <n v="365"/>
    <x v="291"/>
    <x v="0"/>
    <x v="256"/>
    <x v="2"/>
    <s v="Name 365"/>
    <x v="1"/>
    <s v="Mouse"/>
    <n v="210"/>
    <n v="2"/>
    <n v="420"/>
    <n v="42"/>
  </r>
  <r>
    <n v="366"/>
    <x v="292"/>
    <x v="0"/>
    <x v="257"/>
    <x v="3"/>
    <s v="Name 366"/>
    <x v="2"/>
    <s v="Monitor"/>
    <n v="4000"/>
    <n v="3"/>
    <n v="12000"/>
    <n v="1200"/>
  </r>
  <r>
    <n v="367"/>
    <x v="293"/>
    <x v="1"/>
    <x v="258"/>
    <x v="3"/>
    <s v="Name 367"/>
    <x v="3"/>
    <s v="Printer"/>
    <n v="3200"/>
    <n v="5"/>
    <n v="16000"/>
    <n v="1600"/>
  </r>
  <r>
    <n v="368"/>
    <x v="294"/>
    <x v="1"/>
    <x v="259"/>
    <x v="3"/>
    <s v="Name 368"/>
    <x v="4"/>
    <s v="Scanner"/>
    <n v="2900"/>
    <n v="3"/>
    <n v="8700"/>
    <n v="870"/>
  </r>
  <r>
    <n v="369"/>
    <x v="295"/>
    <x v="1"/>
    <x v="260"/>
    <x v="3"/>
    <s v="Name 369"/>
    <x v="0"/>
    <s v="Keyboard"/>
    <n v="190"/>
    <n v="1"/>
    <n v="190"/>
    <n v="19"/>
  </r>
  <r>
    <n v="370"/>
    <x v="296"/>
    <x v="1"/>
    <x v="261"/>
    <x v="3"/>
    <s v="Name 370"/>
    <x v="1"/>
    <s v="SSD 256 GB"/>
    <n v="4000"/>
    <n v="2"/>
    <n v="8000"/>
    <n v="800"/>
  </r>
  <r>
    <n v="376"/>
    <x v="297"/>
    <x v="1"/>
    <x v="262"/>
    <x v="3"/>
    <s v="Name 376"/>
    <x v="2"/>
    <s v="Keyboard"/>
    <n v="190"/>
    <n v="4"/>
    <n v="760"/>
    <n v="76"/>
  </r>
  <r>
    <n v="377"/>
    <x v="298"/>
    <x v="1"/>
    <x v="263"/>
    <x v="3"/>
    <s v="Name 377"/>
    <x v="3"/>
    <s v="SSD 256 GB"/>
    <n v="4000"/>
    <n v="2"/>
    <n v="8000"/>
    <n v="800"/>
  </r>
  <r>
    <n v="378"/>
    <x v="299"/>
    <x v="1"/>
    <x v="264"/>
    <x v="3"/>
    <s v="Name 378"/>
    <x v="4"/>
    <s v="HDD 256 GB"/>
    <n v="1500"/>
    <n v="3"/>
    <n v="4500"/>
    <n v="450"/>
  </r>
  <r>
    <n v="379"/>
    <x v="300"/>
    <x v="1"/>
    <x v="265"/>
    <x v="3"/>
    <s v="Name 379"/>
    <x v="0"/>
    <s v="Mouse"/>
    <n v="210"/>
    <n v="4"/>
    <n v="840"/>
    <n v="84"/>
  </r>
  <r>
    <n v="380"/>
    <x v="301"/>
    <x v="1"/>
    <x v="266"/>
    <x v="2"/>
    <s v="Name 380"/>
    <x v="1"/>
    <s v="Monitor"/>
    <n v="4000"/>
    <n v="5"/>
    <n v="20000"/>
    <n v="2000"/>
  </r>
  <r>
    <n v="381"/>
    <x v="302"/>
    <x v="1"/>
    <x v="267"/>
    <x v="1"/>
    <s v="Name 381"/>
    <x v="2"/>
    <s v="Printer"/>
    <n v="3200"/>
    <n v="6"/>
    <n v="19200"/>
    <n v="1920"/>
  </r>
  <r>
    <n v="382"/>
    <x v="303"/>
    <x v="1"/>
    <x v="268"/>
    <x v="2"/>
    <s v="Name 382"/>
    <x v="3"/>
    <s v="Scanner"/>
    <n v="2900"/>
    <n v="5"/>
    <n v="14500"/>
    <n v="1450"/>
  </r>
  <r>
    <n v="383"/>
    <x v="304"/>
    <x v="1"/>
    <x v="269"/>
    <x v="3"/>
    <s v="Name 383"/>
    <x v="3"/>
    <s v="Keyboard"/>
    <n v="190"/>
    <n v="4"/>
    <n v="760"/>
    <n v="76"/>
  </r>
  <r>
    <n v="384"/>
    <x v="305"/>
    <x v="1"/>
    <x v="270"/>
    <x v="0"/>
    <s v="Name 384"/>
    <x v="3"/>
    <s v="SSD 256 GB"/>
    <n v="4000"/>
    <n v="10"/>
    <n v="40000"/>
    <n v="4000"/>
  </r>
  <r>
    <n v="385"/>
    <x v="306"/>
    <x v="1"/>
    <x v="271"/>
    <x v="1"/>
    <s v="Name 385"/>
    <x v="3"/>
    <s v="HDD 256 GB"/>
    <n v="1500"/>
    <n v="3"/>
    <n v="4500"/>
    <n v="450"/>
  </r>
  <r>
    <n v="386"/>
    <x v="307"/>
    <x v="1"/>
    <x v="272"/>
    <x v="2"/>
    <s v="Name 386"/>
    <x v="3"/>
    <s v="Mouse"/>
    <n v="210"/>
    <n v="4"/>
    <n v="840"/>
    <n v="84"/>
  </r>
  <r>
    <n v="387"/>
    <x v="308"/>
    <x v="1"/>
    <x v="273"/>
    <x v="1"/>
    <s v="Name 387"/>
    <x v="3"/>
    <s v="Monitor"/>
    <n v="4000"/>
    <n v="5"/>
    <n v="20000"/>
    <n v="2000"/>
  </r>
  <r>
    <n v="388"/>
    <x v="309"/>
    <x v="1"/>
    <x v="274"/>
    <x v="2"/>
    <s v="Name 388"/>
    <x v="3"/>
    <s v="Printer"/>
    <n v="3200"/>
    <n v="6"/>
    <n v="19200"/>
    <n v="1920"/>
  </r>
  <r>
    <n v="389"/>
    <x v="310"/>
    <x v="1"/>
    <x v="275"/>
    <x v="3"/>
    <s v="Name 389"/>
    <x v="3"/>
    <s v="Scanner"/>
    <n v="2900"/>
    <n v="5"/>
    <n v="14500"/>
    <n v="1450"/>
  </r>
  <r>
    <n v="390"/>
    <x v="311"/>
    <x v="1"/>
    <x v="276"/>
    <x v="0"/>
    <s v="Name 390"/>
    <x v="3"/>
    <s v="Keyboard"/>
    <n v="190"/>
    <n v="6"/>
    <n v="1140"/>
    <n v="114"/>
  </r>
  <r>
    <n v="391"/>
    <x v="312"/>
    <x v="1"/>
    <x v="277"/>
    <x v="1"/>
    <s v="Name 391"/>
    <x v="2"/>
    <s v="SSD 256 GB"/>
    <n v="4000"/>
    <n v="5"/>
    <n v="20000"/>
    <n v="2000"/>
  </r>
  <r>
    <n v="392"/>
    <x v="313"/>
    <x v="1"/>
    <x v="278"/>
    <x v="2"/>
    <s v="Name 392"/>
    <x v="3"/>
    <s v="HDD 256 GB"/>
    <n v="1500"/>
    <n v="6"/>
    <n v="9000"/>
    <n v="900"/>
  </r>
  <r>
    <n v="393"/>
    <x v="314"/>
    <x v="1"/>
    <x v="279"/>
    <x v="1"/>
    <s v="Name 393"/>
    <x v="4"/>
    <s v="Mouse"/>
    <n v="210"/>
    <n v="2"/>
    <n v="420"/>
    <n v="42"/>
  </r>
  <r>
    <n v="394"/>
    <x v="315"/>
    <x v="1"/>
    <x v="280"/>
    <x v="2"/>
    <s v="Name 394"/>
    <x v="0"/>
    <s v="Monitor"/>
    <n v="4000"/>
    <n v="3"/>
    <n v="12000"/>
    <n v="1200"/>
  </r>
  <r>
    <n v="395"/>
    <x v="316"/>
    <x v="1"/>
    <x v="281"/>
    <x v="3"/>
    <s v="Name 395"/>
    <x v="1"/>
    <s v="Printer"/>
    <n v="3200"/>
    <n v="5"/>
    <n v="16000"/>
    <n v="1600"/>
  </r>
  <r>
    <n v="396"/>
    <x v="317"/>
    <x v="1"/>
    <x v="282"/>
    <x v="0"/>
    <s v="Name 396"/>
    <x v="2"/>
    <s v="Scanner"/>
    <n v="2900"/>
    <n v="1"/>
    <n v="2900"/>
    <n v="290"/>
  </r>
  <r>
    <n v="397"/>
    <x v="318"/>
    <x v="1"/>
    <x v="283"/>
    <x v="1"/>
    <s v="Name 397"/>
    <x v="3"/>
    <s v="Keyboard"/>
    <n v="190"/>
    <n v="1"/>
    <n v="190"/>
    <n v="19"/>
  </r>
  <r>
    <n v="398"/>
    <x v="319"/>
    <x v="1"/>
    <x v="284"/>
    <x v="2"/>
    <s v="Name 398"/>
    <x v="4"/>
    <s v="SSD 256 GB"/>
    <n v="4000"/>
    <n v="1"/>
    <n v="4000"/>
    <n v="400"/>
  </r>
  <r>
    <n v="399"/>
    <x v="320"/>
    <x v="1"/>
    <x v="285"/>
    <x v="1"/>
    <s v="Name 399"/>
    <x v="0"/>
    <s v="HDD 256 GB"/>
    <n v="1500"/>
    <n v="1"/>
    <n v="1500"/>
    <n v="150"/>
  </r>
  <r>
    <n v="400"/>
    <x v="321"/>
    <x v="1"/>
    <x v="286"/>
    <x v="2"/>
    <s v="Name 400"/>
    <x v="1"/>
    <s v="Mouse"/>
    <n v="210"/>
    <n v="3"/>
    <n v="630"/>
    <n v="63"/>
  </r>
  <r>
    <n v="401"/>
    <x v="322"/>
    <x v="1"/>
    <x v="287"/>
    <x v="2"/>
    <s v="Name 401"/>
    <x v="2"/>
    <s v="Monitor"/>
    <n v="4000"/>
    <n v="1"/>
    <n v="4000"/>
    <n v="400"/>
  </r>
  <r>
    <n v="402"/>
    <x v="323"/>
    <x v="1"/>
    <x v="288"/>
    <x v="2"/>
    <s v="Name 402"/>
    <x v="3"/>
    <s v="Printer"/>
    <n v="3200"/>
    <n v="1"/>
    <n v="3200"/>
    <n v="320"/>
  </r>
  <r>
    <n v="403"/>
    <x v="324"/>
    <x v="1"/>
    <x v="289"/>
    <x v="2"/>
    <s v="Name 403"/>
    <x v="4"/>
    <s v="Scanner"/>
    <n v="2900"/>
    <n v="1"/>
    <n v="2900"/>
    <n v="290"/>
  </r>
  <r>
    <n v="404"/>
    <x v="325"/>
    <x v="1"/>
    <x v="290"/>
    <x v="2"/>
    <s v="Name 404"/>
    <x v="0"/>
    <s v="Keyboard"/>
    <n v="190"/>
    <n v="3"/>
    <n v="570"/>
    <n v="57"/>
  </r>
  <r>
    <n v="405"/>
    <x v="326"/>
    <x v="1"/>
    <x v="291"/>
    <x v="2"/>
    <s v="Name 405"/>
    <x v="1"/>
    <s v="SSD 256 GB"/>
    <n v="4000"/>
    <n v="1"/>
    <n v="4000"/>
    <n v="400"/>
  </r>
  <r>
    <n v="406"/>
    <x v="327"/>
    <x v="1"/>
    <x v="292"/>
    <x v="2"/>
    <s v="Name 406"/>
    <x v="2"/>
    <s v="HDD 256 GB"/>
    <n v="1500"/>
    <n v="1"/>
    <n v="1500"/>
    <n v="150"/>
  </r>
  <r>
    <n v="407"/>
    <x v="328"/>
    <x v="1"/>
    <x v="293"/>
    <x v="2"/>
    <s v="Name 407"/>
    <x v="3"/>
    <s v="Mouse"/>
    <n v="210"/>
    <n v="4"/>
    <n v="840"/>
    <n v="84"/>
  </r>
  <r>
    <n v="408"/>
    <x v="329"/>
    <x v="1"/>
    <x v="294"/>
    <x v="2"/>
    <s v="Name 408"/>
    <x v="4"/>
    <s v="Monitor"/>
    <n v="4000"/>
    <n v="5"/>
    <n v="20000"/>
    <n v="2000"/>
  </r>
  <r>
    <n v="409"/>
    <x v="330"/>
    <x v="1"/>
    <x v="295"/>
    <x v="2"/>
    <s v="Name 409"/>
    <x v="0"/>
    <s v="Printer"/>
    <n v="3200"/>
    <n v="6"/>
    <n v="19200"/>
    <n v="1920"/>
  </r>
  <r>
    <n v="410"/>
    <x v="331"/>
    <x v="1"/>
    <x v="296"/>
    <x v="2"/>
    <s v="Name 410"/>
    <x v="1"/>
    <s v="Scanner"/>
    <n v="2900"/>
    <n v="5"/>
    <n v="14500"/>
    <n v="1450"/>
  </r>
  <r>
    <n v="411"/>
    <x v="332"/>
    <x v="1"/>
    <x v="297"/>
    <x v="1"/>
    <s v="Name 411"/>
    <x v="2"/>
    <s v="Keyboard"/>
    <n v="190"/>
    <n v="4"/>
    <n v="760"/>
    <n v="76"/>
  </r>
  <r>
    <n v="412"/>
    <x v="333"/>
    <x v="1"/>
    <x v="298"/>
    <x v="2"/>
    <s v="Name 412"/>
    <x v="3"/>
    <s v="SSD 256 GB"/>
    <n v="4000"/>
    <n v="10"/>
    <n v="40000"/>
    <n v="4000"/>
  </r>
  <r>
    <n v="413"/>
    <x v="334"/>
    <x v="1"/>
    <x v="299"/>
    <x v="3"/>
    <s v="Name 413"/>
    <x v="4"/>
    <s v="HDD 256 GB"/>
    <n v="1500"/>
    <n v="3"/>
    <n v="4500"/>
    <n v="450"/>
  </r>
  <r>
    <n v="414"/>
    <x v="335"/>
    <x v="1"/>
    <x v="300"/>
    <x v="0"/>
    <s v="Name 414"/>
    <x v="0"/>
    <s v="Mouse"/>
    <n v="210"/>
    <n v="4"/>
    <n v="840"/>
    <n v="84"/>
  </r>
  <r>
    <n v="415"/>
    <x v="336"/>
    <x v="1"/>
    <x v="301"/>
    <x v="1"/>
    <s v="Name 415"/>
    <x v="1"/>
    <s v="Monitor"/>
    <n v="4000"/>
    <n v="2"/>
    <n v="8000"/>
    <n v="800"/>
  </r>
  <r>
    <n v="416"/>
    <x v="337"/>
    <x v="1"/>
    <x v="302"/>
    <x v="2"/>
    <s v="Name 416"/>
    <x v="2"/>
    <s v="Printer"/>
    <n v="3200"/>
    <n v="2"/>
    <n v="6400"/>
    <n v="640"/>
  </r>
  <r>
    <n v="417"/>
    <x v="338"/>
    <x v="1"/>
    <x v="303"/>
    <x v="1"/>
    <s v="Name 417"/>
    <x v="2"/>
    <s v="Scanner"/>
    <n v="2900"/>
    <n v="2"/>
    <n v="5800"/>
    <n v="580"/>
  </r>
  <r>
    <n v="418"/>
    <x v="339"/>
    <x v="1"/>
    <x v="304"/>
    <x v="2"/>
    <s v="Name 418"/>
    <x v="2"/>
    <s v="Keyboard"/>
    <n v="190"/>
    <n v="6"/>
    <n v="1140"/>
    <n v="114"/>
  </r>
  <r>
    <n v="419"/>
    <x v="340"/>
    <x v="1"/>
    <x v="305"/>
    <x v="3"/>
    <s v="Name 419"/>
    <x v="2"/>
    <s v="SSD 256 GB"/>
    <n v="4000"/>
    <n v="2"/>
    <n v="8000"/>
    <n v="800"/>
  </r>
  <r>
    <n v="420"/>
    <x v="341"/>
    <x v="1"/>
    <x v="306"/>
    <x v="0"/>
    <s v="Name 420"/>
    <x v="2"/>
    <s v="HDD 256 GB"/>
    <n v="1500"/>
    <n v="6"/>
    <n v="9000"/>
    <n v="900"/>
  </r>
  <r>
    <n v="421"/>
    <x v="342"/>
    <x v="1"/>
    <x v="307"/>
    <x v="1"/>
    <s v="Name 421"/>
    <x v="2"/>
    <s v="Mouse"/>
    <n v="210"/>
    <n v="2"/>
    <n v="420"/>
    <n v="42"/>
  </r>
  <r>
    <n v="422"/>
    <x v="343"/>
    <x v="1"/>
    <x v="308"/>
    <x v="2"/>
    <s v="Name 422"/>
    <x v="3"/>
    <s v="Monitor"/>
    <n v="4000"/>
    <n v="3"/>
    <n v="12000"/>
    <n v="1200"/>
  </r>
  <r>
    <n v="423"/>
    <x v="344"/>
    <x v="1"/>
    <x v="309"/>
    <x v="1"/>
    <s v="Name 423"/>
    <x v="4"/>
    <s v="Printer"/>
    <n v="3200"/>
    <n v="2"/>
    <n v="6400"/>
    <n v="640"/>
  </r>
  <r>
    <n v="424"/>
    <x v="345"/>
    <x v="1"/>
    <x v="310"/>
    <x v="2"/>
    <s v="Name 424"/>
    <x v="0"/>
    <s v="Scanner"/>
    <n v="2900"/>
    <n v="3"/>
    <n v="8700"/>
    <n v="870"/>
  </r>
  <r>
    <n v="425"/>
    <x v="346"/>
    <x v="1"/>
    <x v="311"/>
    <x v="3"/>
    <s v="Name 425"/>
    <x v="1"/>
    <s v="Keyboard"/>
    <n v="190"/>
    <n v="1"/>
    <n v="190"/>
    <n v="19"/>
  </r>
  <r>
    <n v="426"/>
    <x v="347"/>
    <x v="1"/>
    <x v="312"/>
    <x v="0"/>
    <s v="Name 426"/>
    <x v="2"/>
    <s v="SSD 256 GB"/>
    <n v="4000"/>
    <n v="2"/>
    <n v="8000"/>
    <n v="800"/>
  </r>
  <r>
    <n v="427"/>
    <x v="348"/>
    <x v="1"/>
    <x v="313"/>
    <x v="1"/>
    <s v="Name 427"/>
    <x v="3"/>
    <s v="HDD 256 GB"/>
    <n v="1500"/>
    <n v="3"/>
    <n v="4500"/>
    <n v="450"/>
  </r>
  <r>
    <n v="428"/>
    <x v="349"/>
    <x v="1"/>
    <x v="314"/>
    <x v="2"/>
    <s v="Name 428"/>
    <x v="4"/>
    <s v="Mouse"/>
    <n v="210"/>
    <n v="7"/>
    <n v="1470"/>
    <n v="147"/>
  </r>
  <r>
    <n v="429"/>
    <x v="350"/>
    <x v="1"/>
    <x v="315"/>
    <x v="1"/>
    <s v="Name 429"/>
    <x v="0"/>
    <s v="Monitor"/>
    <n v="4000"/>
    <n v="6"/>
    <n v="24000"/>
    <n v="2400"/>
  </r>
  <r>
    <n v="430"/>
    <x v="351"/>
    <x v="1"/>
    <x v="316"/>
    <x v="2"/>
    <s v="Name 430"/>
    <x v="1"/>
    <s v="Printer"/>
    <n v="3200"/>
    <n v="1"/>
    <n v="3200"/>
    <n v="320"/>
  </r>
  <r>
    <n v="431"/>
    <x v="352"/>
    <x v="1"/>
    <x v="317"/>
    <x v="3"/>
    <s v="Name 431"/>
    <x v="2"/>
    <s v="Scanner"/>
    <n v="2900"/>
    <n v="3"/>
    <n v="8700"/>
    <n v="870"/>
  </r>
  <r>
    <n v="432"/>
    <x v="353"/>
    <x v="1"/>
    <x v="318"/>
    <x v="0"/>
    <s v="Name 432"/>
    <x v="3"/>
    <s v="Keyboard"/>
    <n v="190"/>
    <n v="4"/>
    <n v="760"/>
    <n v="76"/>
  </r>
  <r>
    <n v="433"/>
    <x v="354"/>
    <x v="1"/>
    <x v="319"/>
    <x v="1"/>
    <s v="Name 433"/>
    <x v="4"/>
    <s v="SSD 256 GB"/>
    <n v="4000"/>
    <n v="2"/>
    <n v="8000"/>
    <n v="800"/>
  </r>
  <r>
    <n v="434"/>
    <x v="355"/>
    <x v="1"/>
    <x v="320"/>
    <x v="2"/>
    <s v="Name 434"/>
    <x v="0"/>
    <s v="HDD 256 GB"/>
    <n v="1500"/>
    <n v="3"/>
    <n v="4500"/>
    <n v="450"/>
  </r>
  <r>
    <n v="435"/>
    <x v="356"/>
    <x v="1"/>
    <x v="321"/>
    <x v="1"/>
    <s v="Name 435"/>
    <x v="1"/>
    <s v="Mouse"/>
    <n v="210"/>
    <n v="4"/>
    <n v="840"/>
    <n v="84"/>
  </r>
  <r>
    <n v="436"/>
    <x v="357"/>
    <x v="1"/>
    <x v="322"/>
    <x v="1"/>
    <s v="Name 436"/>
    <x v="2"/>
    <s v="Monitor"/>
    <n v="4000"/>
    <n v="5"/>
    <n v="20000"/>
    <n v="2000"/>
  </r>
  <r>
    <n v="437"/>
    <x v="358"/>
    <x v="1"/>
    <x v="323"/>
    <x v="1"/>
    <s v="Name 437"/>
    <x v="3"/>
    <s v="Printer"/>
    <n v="3200"/>
    <n v="6"/>
    <n v="19200"/>
    <n v="1920"/>
  </r>
  <r>
    <n v="438"/>
    <x v="359"/>
    <x v="1"/>
    <x v="324"/>
    <x v="1"/>
    <s v="Name 438"/>
    <x v="4"/>
    <s v="Scanner"/>
    <n v="2900"/>
    <n v="5"/>
    <n v="14500"/>
    <n v="1450"/>
  </r>
  <r>
    <n v="439"/>
    <x v="360"/>
    <x v="1"/>
    <x v="325"/>
    <x v="1"/>
    <s v="Name 439"/>
    <x v="0"/>
    <s v="Keyboard"/>
    <n v="190"/>
    <n v="4"/>
    <n v="760"/>
    <n v="76"/>
  </r>
  <r>
    <n v="440"/>
    <x v="361"/>
    <x v="1"/>
    <x v="326"/>
    <x v="1"/>
    <s v="Name 440"/>
    <x v="0"/>
    <s v="SSD 256 GB"/>
    <n v="4000"/>
    <n v="2"/>
    <n v="8000"/>
    <n v="800"/>
  </r>
  <r>
    <n v="441"/>
    <x v="362"/>
    <x v="1"/>
    <x v="327"/>
    <x v="1"/>
    <s v="Name 441"/>
    <x v="0"/>
    <s v="HDD 256 GB"/>
    <n v="1500"/>
    <n v="3"/>
    <n v="4500"/>
    <n v="450"/>
  </r>
  <r>
    <n v="442"/>
    <x v="363"/>
    <x v="1"/>
    <x v="328"/>
    <x v="2"/>
    <s v="Name 442"/>
    <x v="0"/>
    <s v="Mouse"/>
    <n v="210"/>
    <n v="4"/>
    <n v="840"/>
    <n v="84"/>
  </r>
  <r>
    <n v="443"/>
    <x v="364"/>
    <x v="1"/>
    <x v="329"/>
    <x v="3"/>
    <s v="Name 443"/>
    <x v="0"/>
    <s v="Monitor"/>
    <n v="4000"/>
    <n v="5"/>
    <n v="20000"/>
    <n v="2000"/>
  </r>
  <r>
    <n v="444"/>
    <x v="365"/>
    <x v="1"/>
    <x v="330"/>
    <x v="0"/>
    <s v="Name 444"/>
    <x v="0"/>
    <s v="Printer"/>
    <n v="3200"/>
    <n v="6"/>
    <n v="19200"/>
    <n v="1920"/>
  </r>
  <r>
    <n v="445"/>
    <x v="366"/>
    <x v="1"/>
    <x v="331"/>
    <x v="1"/>
    <s v="Name 445"/>
    <x v="1"/>
    <s v="Scanner"/>
    <n v="2900"/>
    <n v="5"/>
    <n v="14500"/>
    <n v="1450"/>
  </r>
  <r>
    <n v="446"/>
    <x v="367"/>
    <x v="1"/>
    <x v="332"/>
    <x v="2"/>
    <s v="Name 446"/>
    <x v="2"/>
    <s v="Keyboard"/>
    <n v="190"/>
    <n v="6"/>
    <n v="1140"/>
    <n v="114"/>
  </r>
  <r>
    <n v="447"/>
    <x v="368"/>
    <x v="1"/>
    <x v="333"/>
    <x v="1"/>
    <s v="Name 447"/>
    <x v="3"/>
    <s v="SSD 256 GB"/>
    <n v="4000"/>
    <n v="5"/>
    <n v="20000"/>
    <n v="2000"/>
  </r>
  <r>
    <n v="448"/>
    <x v="369"/>
    <x v="1"/>
    <x v="334"/>
    <x v="2"/>
    <s v="Name 448"/>
    <x v="4"/>
    <s v="HDD 256 GB"/>
    <n v="1500"/>
    <n v="6"/>
    <n v="9000"/>
    <n v="900"/>
  </r>
  <r>
    <n v="449"/>
    <x v="370"/>
    <x v="1"/>
    <x v="335"/>
    <x v="3"/>
    <s v="Name 449"/>
    <x v="0"/>
    <s v="Mouse"/>
    <n v="210"/>
    <n v="2"/>
    <n v="420"/>
    <n v="42"/>
  </r>
  <r>
    <n v="450"/>
    <x v="371"/>
    <x v="1"/>
    <x v="336"/>
    <x v="0"/>
    <s v="Name 450"/>
    <x v="1"/>
    <s v="Monitor"/>
    <n v="4000"/>
    <n v="3"/>
    <n v="12000"/>
    <n v="1200"/>
  </r>
  <r>
    <n v="451"/>
    <x v="372"/>
    <x v="1"/>
    <x v="337"/>
    <x v="1"/>
    <s v="Name 451"/>
    <x v="2"/>
    <s v="Printer"/>
    <n v="3200"/>
    <n v="5"/>
    <n v="16000"/>
    <n v="1600"/>
  </r>
  <r>
    <n v="452"/>
    <x v="373"/>
    <x v="1"/>
    <x v="338"/>
    <x v="2"/>
    <s v="Name 452"/>
    <x v="3"/>
    <s v="Scanner"/>
    <n v="2900"/>
    <n v="3"/>
    <n v="8700"/>
    <n v="870"/>
  </r>
  <r>
    <n v="453"/>
    <x v="374"/>
    <x v="1"/>
    <x v="339"/>
    <x v="1"/>
    <s v="Name 453"/>
    <x v="4"/>
    <s v="Keyboard"/>
    <n v="190"/>
    <n v="1"/>
    <n v="190"/>
    <n v="19"/>
  </r>
  <r>
    <n v="454"/>
    <x v="375"/>
    <x v="1"/>
    <x v="340"/>
    <x v="2"/>
    <s v="Name 454"/>
    <x v="0"/>
    <s v="SSD 256 GB"/>
    <n v="4000"/>
    <n v="2"/>
    <n v="8000"/>
    <n v="800"/>
  </r>
  <r>
    <n v="455"/>
    <x v="376"/>
    <x v="1"/>
    <x v="341"/>
    <x v="3"/>
    <s v="Name 455"/>
    <x v="1"/>
    <s v="HDD 256 GB"/>
    <n v="1500"/>
    <n v="3"/>
    <n v="4500"/>
    <n v="450"/>
  </r>
  <r>
    <n v="456"/>
    <x v="377"/>
    <x v="1"/>
    <x v="342"/>
    <x v="0"/>
    <s v="Name 456"/>
    <x v="2"/>
    <s v="Mouse"/>
    <n v="210"/>
    <n v="7"/>
    <n v="1470"/>
    <n v="147"/>
  </r>
  <r>
    <n v="457"/>
    <x v="378"/>
    <x v="1"/>
    <x v="343"/>
    <x v="1"/>
    <s v="Name 457"/>
    <x v="3"/>
    <s v="Monitor"/>
    <n v="4000"/>
    <n v="6"/>
    <n v="24000"/>
    <n v="2400"/>
  </r>
  <r>
    <n v="458"/>
    <x v="379"/>
    <x v="1"/>
    <x v="344"/>
    <x v="2"/>
    <s v="Name 458"/>
    <x v="4"/>
    <s v="Printer"/>
    <n v="3200"/>
    <n v="1"/>
    <n v="3200"/>
    <n v="320"/>
  </r>
  <r>
    <n v="459"/>
    <x v="380"/>
    <x v="1"/>
    <x v="345"/>
    <x v="1"/>
    <s v="Name 459"/>
    <x v="0"/>
    <s v="Scanner"/>
    <n v="2900"/>
    <n v="1"/>
    <n v="2900"/>
    <n v="290"/>
  </r>
  <r>
    <n v="460"/>
    <x v="381"/>
    <x v="1"/>
    <x v="346"/>
    <x v="2"/>
    <s v="Name 460"/>
    <x v="1"/>
    <s v="Keyboard"/>
    <n v="190"/>
    <n v="1"/>
    <n v="190"/>
    <n v="19"/>
  </r>
  <r>
    <n v="461"/>
    <x v="382"/>
    <x v="1"/>
    <x v="347"/>
    <x v="3"/>
    <s v="Name 461"/>
    <x v="2"/>
    <s v="SSD 256 GB"/>
    <n v="4000"/>
    <n v="1"/>
    <n v="4000"/>
    <n v="400"/>
  </r>
  <r>
    <n v="462"/>
    <x v="383"/>
    <x v="1"/>
    <x v="348"/>
    <x v="0"/>
    <s v="Name 462"/>
    <x v="3"/>
    <s v="HDD 256 GB"/>
    <n v="1500"/>
    <n v="1"/>
    <n v="1500"/>
    <n v="150"/>
  </r>
  <r>
    <n v="463"/>
    <x v="384"/>
    <x v="1"/>
    <x v="349"/>
    <x v="1"/>
    <s v="Name 463"/>
    <x v="4"/>
    <s v="Mouse"/>
    <n v="210"/>
    <n v="1"/>
    <n v="210"/>
    <n v="21"/>
  </r>
  <r>
    <n v="464"/>
    <x v="385"/>
    <x v="1"/>
    <x v="350"/>
    <x v="2"/>
    <s v="Name 464"/>
    <x v="0"/>
    <s v="Monitor"/>
    <n v="4000"/>
    <n v="1"/>
    <n v="4000"/>
    <n v="400"/>
  </r>
  <r>
    <n v="465"/>
    <x v="386"/>
    <x v="1"/>
    <x v="351"/>
    <x v="1"/>
    <s v="Name 465"/>
    <x v="1"/>
    <s v="Printer"/>
    <n v="3200"/>
    <n v="6"/>
    <n v="19200"/>
    <n v="1920"/>
  </r>
  <r>
    <n v="466"/>
    <x v="387"/>
    <x v="1"/>
    <x v="352"/>
    <x v="2"/>
    <s v="Name 466"/>
    <x v="2"/>
    <s v="Scanner"/>
    <n v="2900"/>
    <n v="5"/>
    <n v="14500"/>
    <n v="1450"/>
  </r>
  <r>
    <n v="467"/>
    <x v="388"/>
    <x v="1"/>
    <x v="353"/>
    <x v="3"/>
    <s v="Name 467"/>
    <x v="3"/>
    <s v="Keyboard"/>
    <n v="190"/>
    <n v="4"/>
    <n v="760"/>
    <n v="76"/>
  </r>
  <r>
    <n v="468"/>
    <x v="389"/>
    <x v="1"/>
    <x v="354"/>
    <x v="0"/>
    <s v="Name 468"/>
    <x v="4"/>
    <s v="SSD 256 GB"/>
    <n v="4000"/>
    <n v="10"/>
    <n v="40000"/>
    <n v="4000"/>
  </r>
  <r>
    <n v="469"/>
    <x v="390"/>
    <x v="1"/>
    <x v="355"/>
    <x v="1"/>
    <s v="Name 469"/>
    <x v="0"/>
    <s v="HDD 256 GB"/>
    <n v="1500"/>
    <n v="3"/>
    <n v="4500"/>
    <n v="450"/>
  </r>
  <r>
    <n v="470"/>
    <x v="391"/>
    <x v="1"/>
    <x v="356"/>
    <x v="2"/>
    <s v="Name 470"/>
    <x v="1"/>
    <s v="Mouse"/>
    <n v="210"/>
    <n v="4"/>
    <n v="840"/>
    <n v="84"/>
  </r>
  <r>
    <n v="471"/>
    <x v="392"/>
    <x v="1"/>
    <x v="357"/>
    <x v="1"/>
    <s v="Name 471"/>
    <x v="2"/>
    <s v="Monitor"/>
    <n v="4000"/>
    <n v="5"/>
    <n v="20000"/>
    <n v="2000"/>
  </r>
  <r>
    <n v="472"/>
    <x v="393"/>
    <x v="1"/>
    <x v="358"/>
    <x v="2"/>
    <s v="Name 472"/>
    <x v="2"/>
    <s v="Printer"/>
    <n v="3200"/>
    <n v="6"/>
    <n v="19200"/>
    <n v="1920"/>
  </r>
  <r>
    <n v="473"/>
    <x v="394"/>
    <x v="1"/>
    <x v="359"/>
    <x v="3"/>
    <s v="Name 473"/>
    <x v="2"/>
    <s v="Scanner"/>
    <n v="2900"/>
    <n v="5"/>
    <n v="14500"/>
    <n v="1450"/>
  </r>
  <r>
    <n v="474"/>
    <x v="395"/>
    <x v="1"/>
    <x v="360"/>
    <x v="0"/>
    <s v="Name 474"/>
    <x v="2"/>
    <s v="Keyboard"/>
    <n v="190"/>
    <n v="6"/>
    <n v="1140"/>
    <n v="114"/>
  </r>
  <r>
    <n v="475"/>
    <x v="396"/>
    <x v="1"/>
    <x v="361"/>
    <x v="1"/>
    <s v="Name 475"/>
    <x v="1"/>
    <s v="SSD 256 GB"/>
    <n v="4000"/>
    <n v="5"/>
    <n v="20000"/>
    <n v="2000"/>
  </r>
  <r>
    <n v="476"/>
    <x v="397"/>
    <x v="1"/>
    <x v="362"/>
    <x v="2"/>
    <s v="Name 476"/>
    <x v="2"/>
    <s v="HDD 256 GB"/>
    <n v="1500"/>
    <n v="6"/>
    <n v="9000"/>
    <n v="900"/>
  </r>
  <r>
    <n v="477"/>
    <x v="398"/>
    <x v="1"/>
    <x v="363"/>
    <x v="1"/>
    <s v="Name 477"/>
    <x v="3"/>
    <s v="Mouse"/>
    <n v="210"/>
    <n v="2"/>
    <n v="420"/>
    <n v="42"/>
  </r>
  <r>
    <n v="478"/>
    <x v="399"/>
    <x v="1"/>
    <x v="364"/>
    <x v="2"/>
    <s v="Name 478"/>
    <x v="4"/>
    <s v="Monitor"/>
    <n v="4000"/>
    <n v="3"/>
    <n v="12000"/>
    <n v="1200"/>
  </r>
  <r>
    <n v="479"/>
    <x v="400"/>
    <x v="1"/>
    <x v="365"/>
    <x v="3"/>
    <s v="Name 479"/>
    <x v="0"/>
    <s v="Printer"/>
    <n v="3200"/>
    <n v="5"/>
    <n v="16000"/>
    <n v="1600"/>
  </r>
  <r>
    <n v="480"/>
    <x v="401"/>
    <x v="1"/>
    <x v="366"/>
    <x v="0"/>
    <s v="Name 480"/>
    <x v="1"/>
    <s v="Scanner"/>
    <n v="2900"/>
    <n v="3"/>
    <n v="8700"/>
    <n v="870"/>
  </r>
  <r>
    <n v="481"/>
    <x v="402"/>
    <x v="1"/>
    <x v="367"/>
    <x v="1"/>
    <s v="Name 481"/>
    <x v="2"/>
    <s v="Keyboard"/>
    <n v="190"/>
    <n v="1"/>
    <n v="190"/>
    <n v="19"/>
  </r>
  <r>
    <n v="482"/>
    <x v="403"/>
    <x v="1"/>
    <x v="368"/>
    <x v="2"/>
    <s v="Name 482"/>
    <x v="3"/>
    <s v="SSD 256 GB"/>
    <n v="4000"/>
    <n v="2"/>
    <n v="8000"/>
    <n v="800"/>
  </r>
  <r>
    <n v="483"/>
    <x v="404"/>
    <x v="1"/>
    <x v="369"/>
    <x v="1"/>
    <s v="Name 483"/>
    <x v="4"/>
    <s v="HDD 256 GB"/>
    <n v="1500"/>
    <n v="3"/>
    <n v="4500"/>
    <n v="450"/>
  </r>
  <r>
    <n v="484"/>
    <x v="405"/>
    <x v="1"/>
    <x v="370"/>
    <x v="2"/>
    <s v="Name 484"/>
    <x v="0"/>
    <s v="Mouse"/>
    <n v="210"/>
    <n v="7"/>
    <n v="1470"/>
    <n v="147"/>
  </r>
  <r>
    <n v="485"/>
    <x v="406"/>
    <x v="1"/>
    <x v="371"/>
    <x v="3"/>
    <s v="Name 485"/>
    <x v="1"/>
    <s v="Monitor"/>
    <n v="4000"/>
    <n v="6"/>
    <n v="24000"/>
    <n v="2400"/>
  </r>
  <r>
    <n v="486"/>
    <x v="407"/>
    <x v="1"/>
    <x v="372"/>
    <x v="0"/>
    <s v="Name 486"/>
    <x v="2"/>
    <s v="Printer"/>
    <n v="3200"/>
    <n v="1"/>
    <n v="3200"/>
    <n v="320"/>
  </r>
  <r>
    <n v="487"/>
    <x v="408"/>
    <x v="1"/>
    <x v="373"/>
    <x v="1"/>
    <s v="Name 487"/>
    <x v="3"/>
    <s v="Scanner"/>
    <n v="2900"/>
    <n v="1"/>
    <n v="2900"/>
    <n v="290"/>
  </r>
  <r>
    <n v="488"/>
    <x v="409"/>
    <x v="1"/>
    <x v="374"/>
    <x v="2"/>
    <s v="Name 488"/>
    <x v="4"/>
    <s v="Keyboard"/>
    <n v="190"/>
    <n v="1"/>
    <n v="190"/>
    <n v="19"/>
  </r>
  <r>
    <n v="489"/>
    <x v="410"/>
    <x v="1"/>
    <x v="375"/>
    <x v="1"/>
    <s v="Name 489"/>
    <x v="0"/>
    <s v="SSD 256 GB"/>
    <n v="4000"/>
    <n v="1"/>
    <n v="4000"/>
    <n v="400"/>
  </r>
  <r>
    <n v="490"/>
    <x v="411"/>
    <x v="1"/>
    <x v="376"/>
    <x v="2"/>
    <s v="Name 490"/>
    <x v="1"/>
    <s v="HDD 256 GB"/>
    <n v="1500"/>
    <n v="1"/>
    <n v="1500"/>
    <n v="150"/>
  </r>
  <r>
    <n v="491"/>
    <x v="412"/>
    <x v="1"/>
    <x v="377"/>
    <x v="3"/>
    <s v="Name 491"/>
    <x v="2"/>
    <s v="Mouse"/>
    <n v="210"/>
    <n v="1"/>
    <n v="210"/>
    <n v="21"/>
  </r>
  <r>
    <n v="492"/>
    <x v="413"/>
    <x v="1"/>
    <x v="378"/>
    <x v="0"/>
    <s v="Name 492"/>
    <x v="3"/>
    <s v="Monitor"/>
    <n v="4000"/>
    <n v="1"/>
    <n v="4000"/>
    <n v="400"/>
  </r>
  <r>
    <n v="493"/>
    <x v="414"/>
    <x v="1"/>
    <x v="379"/>
    <x v="1"/>
    <s v="Name 493"/>
    <x v="4"/>
    <s v="Printer"/>
    <n v="3200"/>
    <n v="1"/>
    <n v="3200"/>
    <n v="320"/>
  </r>
  <r>
    <n v="494"/>
    <x v="415"/>
    <x v="1"/>
    <x v="380"/>
    <x v="2"/>
    <s v="Name 494"/>
    <x v="0"/>
    <s v="Scanner"/>
    <n v="2900"/>
    <n v="1"/>
    <n v="2900"/>
    <n v="290"/>
  </r>
  <r>
    <n v="495"/>
    <x v="416"/>
    <x v="1"/>
    <x v="381"/>
    <x v="1"/>
    <s v="Name 495"/>
    <x v="1"/>
    <s v="Keyboard"/>
    <n v="190"/>
    <n v="1"/>
    <n v="190"/>
    <n v="19"/>
  </r>
  <r>
    <n v="496"/>
    <x v="417"/>
    <x v="1"/>
    <x v="382"/>
    <x v="2"/>
    <s v="Name 496"/>
    <x v="2"/>
    <s v="SSD 256 GB"/>
    <n v="4000"/>
    <n v="1"/>
    <n v="4000"/>
    <n v="400"/>
  </r>
  <r>
    <n v="497"/>
    <x v="418"/>
    <x v="1"/>
    <x v="383"/>
    <x v="3"/>
    <s v="Name 497"/>
    <x v="3"/>
    <s v="HDD 256 GB"/>
    <n v="1500"/>
    <n v="1"/>
    <n v="1500"/>
    <n v="150"/>
  </r>
  <r>
    <n v="498"/>
    <x v="419"/>
    <x v="1"/>
    <x v="384"/>
    <x v="0"/>
    <s v="Name 498"/>
    <x v="4"/>
    <s v="Mouse"/>
    <n v="210"/>
    <n v="1"/>
    <n v="210"/>
    <n v="21"/>
  </r>
  <r>
    <n v="499"/>
    <x v="420"/>
    <x v="1"/>
    <x v="385"/>
    <x v="1"/>
    <s v="Name 499"/>
    <x v="0"/>
    <s v="Monitor"/>
    <n v="4000"/>
    <n v="1"/>
    <n v="4000"/>
    <n v="400"/>
  </r>
  <r>
    <n v="500"/>
    <x v="421"/>
    <x v="1"/>
    <x v="386"/>
    <x v="2"/>
    <s v="Name 500"/>
    <x v="1"/>
    <s v="Printer"/>
    <n v="3200"/>
    <n v="1"/>
    <n v="3200"/>
    <n v="320"/>
  </r>
  <r>
    <n v="501"/>
    <x v="422"/>
    <x v="1"/>
    <x v="387"/>
    <x v="1"/>
    <s v="Name 501"/>
    <x v="2"/>
    <s v="Scanner"/>
    <n v="2900"/>
    <n v="1"/>
    <n v="2900"/>
    <n v="290"/>
  </r>
  <r>
    <n v="502"/>
    <x v="423"/>
    <x v="1"/>
    <x v="388"/>
    <x v="2"/>
    <s v="Name 502"/>
    <x v="3"/>
    <s v="Keyboard"/>
    <n v="190"/>
    <n v="6"/>
    <n v="1140"/>
    <n v="114"/>
  </r>
  <r>
    <n v="503"/>
    <x v="424"/>
    <x v="1"/>
    <x v="389"/>
    <x v="3"/>
    <s v="Name 503"/>
    <x v="4"/>
    <s v="SSD 256 GB"/>
    <n v="4000"/>
    <n v="5"/>
    <n v="20000"/>
    <n v="2000"/>
  </r>
  <r>
    <n v="504"/>
    <x v="425"/>
    <x v="1"/>
    <x v="390"/>
    <x v="0"/>
    <s v="Name 504"/>
    <x v="0"/>
    <s v="HDD 256 GB"/>
    <n v="1500"/>
    <n v="6"/>
    <n v="9000"/>
    <n v="900"/>
  </r>
  <r>
    <n v="505"/>
    <x v="426"/>
    <x v="1"/>
    <x v="391"/>
    <x v="1"/>
    <s v="Name 505"/>
    <x v="1"/>
    <s v="Mouse"/>
    <n v="210"/>
    <n v="2"/>
    <n v="420"/>
    <n v="42"/>
  </r>
  <r>
    <n v="506"/>
    <x v="427"/>
    <x v="1"/>
    <x v="392"/>
    <x v="2"/>
    <s v="Name 506"/>
    <x v="2"/>
    <s v="Monitor"/>
    <n v="4000"/>
    <n v="3"/>
    <n v="12000"/>
    <n v="1200"/>
  </r>
  <r>
    <n v="507"/>
    <x v="428"/>
    <x v="1"/>
    <x v="393"/>
    <x v="1"/>
    <s v="Name 507"/>
    <x v="3"/>
    <s v="Printer"/>
    <n v="3200"/>
    <n v="5"/>
    <n v="16000"/>
    <n v="1600"/>
  </r>
  <r>
    <n v="508"/>
    <x v="429"/>
    <x v="1"/>
    <x v="394"/>
    <x v="2"/>
    <s v="Name 508"/>
    <x v="4"/>
    <s v="Scanner"/>
    <n v="2900"/>
    <n v="3"/>
    <n v="8700"/>
    <n v="870"/>
  </r>
  <r>
    <n v="509"/>
    <x v="430"/>
    <x v="1"/>
    <x v="395"/>
    <x v="3"/>
    <s v="Name 509"/>
    <x v="0"/>
    <s v="Keyboard"/>
    <n v="190"/>
    <n v="1"/>
    <n v="190"/>
    <n v="19"/>
  </r>
  <r>
    <n v="510"/>
    <x v="431"/>
    <x v="1"/>
    <x v="396"/>
    <x v="0"/>
    <s v="Name 510"/>
    <x v="1"/>
    <s v="SSD 256 GB"/>
    <n v="4000"/>
    <n v="2"/>
    <n v="8000"/>
    <n v="800"/>
  </r>
  <r>
    <n v="511"/>
    <x v="432"/>
    <x v="1"/>
    <x v="397"/>
    <x v="1"/>
    <s v="Name 511"/>
    <x v="2"/>
    <s v="HDD 256 GB"/>
    <n v="1500"/>
    <n v="3"/>
    <n v="4500"/>
    <n v="450"/>
  </r>
  <r>
    <n v="512"/>
    <x v="433"/>
    <x v="1"/>
    <x v="398"/>
    <x v="2"/>
    <s v="Name 512"/>
    <x v="3"/>
    <s v="Mouse"/>
    <n v="210"/>
    <n v="7"/>
    <n v="1470"/>
    <n v="147"/>
  </r>
  <r>
    <n v="513"/>
    <x v="434"/>
    <x v="1"/>
    <x v="399"/>
    <x v="1"/>
    <s v="Name 513"/>
    <x v="4"/>
    <s v="Monitor"/>
    <n v="4000"/>
    <n v="6"/>
    <n v="24000"/>
    <n v="2400"/>
  </r>
  <r>
    <n v="514"/>
    <x v="435"/>
    <x v="1"/>
    <x v="400"/>
    <x v="2"/>
    <s v="Name 514"/>
    <x v="0"/>
    <s v="Printer"/>
    <n v="3200"/>
    <n v="1"/>
    <n v="3200"/>
    <n v="320"/>
  </r>
  <r>
    <n v="515"/>
    <x v="436"/>
    <x v="1"/>
    <x v="401"/>
    <x v="3"/>
    <s v="Name 515"/>
    <x v="1"/>
    <s v="Scanner"/>
    <n v="2900"/>
    <n v="3"/>
    <n v="8700"/>
    <n v="870"/>
  </r>
  <r>
    <n v="516"/>
    <x v="437"/>
    <x v="1"/>
    <x v="402"/>
    <x v="0"/>
    <s v="Name 516"/>
    <x v="2"/>
    <s v="Keyboard"/>
    <n v="190"/>
    <n v="4"/>
    <n v="760"/>
    <n v="76"/>
  </r>
  <r>
    <n v="517"/>
    <x v="438"/>
    <x v="1"/>
    <x v="403"/>
    <x v="1"/>
    <s v="Name 517"/>
    <x v="3"/>
    <s v="SSD 256 GB"/>
    <n v="4000"/>
    <n v="2"/>
    <n v="8000"/>
    <n v="800"/>
  </r>
  <r>
    <n v="518"/>
    <x v="439"/>
    <x v="1"/>
    <x v="404"/>
    <x v="2"/>
    <s v="Name 518"/>
    <x v="4"/>
    <s v="HDD 256 GB"/>
    <n v="1500"/>
    <n v="3"/>
    <n v="4500"/>
    <n v="450"/>
  </r>
  <r>
    <n v="519"/>
    <x v="440"/>
    <x v="1"/>
    <x v="405"/>
    <x v="1"/>
    <s v="Name 519"/>
    <x v="0"/>
    <s v="Mouse"/>
    <n v="210"/>
    <n v="4"/>
    <n v="840"/>
    <n v="84"/>
  </r>
  <r>
    <n v="520"/>
    <x v="441"/>
    <x v="1"/>
    <x v="406"/>
    <x v="2"/>
    <s v="Name 520"/>
    <x v="1"/>
    <s v="Monitor"/>
    <n v="4000"/>
    <n v="5"/>
    <n v="20000"/>
    <n v="2000"/>
  </r>
  <r>
    <n v="521"/>
    <x v="442"/>
    <x v="1"/>
    <x v="407"/>
    <x v="3"/>
    <s v="Name 521"/>
    <x v="2"/>
    <s v="Printer"/>
    <n v="3200"/>
    <n v="6"/>
    <n v="19200"/>
    <n v="1920"/>
  </r>
  <r>
    <n v="522"/>
    <x v="443"/>
    <x v="1"/>
    <x v="408"/>
    <x v="0"/>
    <s v="Name 522"/>
    <x v="3"/>
    <s v="Scanner"/>
    <n v="2900"/>
    <n v="5"/>
    <n v="14500"/>
    <n v="1450"/>
  </r>
  <r>
    <n v="523"/>
    <x v="444"/>
    <x v="1"/>
    <x v="409"/>
    <x v="1"/>
    <s v="Name 523"/>
    <x v="3"/>
    <s v="Keyboard"/>
    <n v="190"/>
    <n v="4"/>
    <n v="760"/>
    <n v="76"/>
  </r>
  <r>
    <n v="524"/>
    <x v="445"/>
    <x v="1"/>
    <x v="410"/>
    <x v="2"/>
    <s v="Name 524"/>
    <x v="3"/>
    <s v="SSD 256 GB"/>
    <n v="4000"/>
    <n v="10"/>
    <n v="40000"/>
    <n v="4000"/>
  </r>
  <r>
    <n v="525"/>
    <x v="446"/>
    <x v="1"/>
    <x v="411"/>
    <x v="1"/>
    <s v="Name 525"/>
    <x v="3"/>
    <s v="HDD 256 GB"/>
    <n v="1500"/>
    <n v="3"/>
    <n v="4500"/>
    <n v="450"/>
  </r>
  <r>
    <n v="526"/>
    <x v="447"/>
    <x v="1"/>
    <x v="412"/>
    <x v="2"/>
    <s v="Name 526"/>
    <x v="3"/>
    <s v="Mouse"/>
    <n v="210"/>
    <n v="4"/>
    <n v="840"/>
    <n v="84"/>
  </r>
  <r>
    <n v="527"/>
    <x v="448"/>
    <x v="1"/>
    <x v="413"/>
    <x v="3"/>
    <s v="Name 527"/>
    <x v="3"/>
    <s v="Monitor"/>
    <n v="4000"/>
    <n v="5"/>
    <n v="20000"/>
    <n v="2000"/>
  </r>
  <r>
    <n v="528"/>
    <x v="449"/>
    <x v="1"/>
    <x v="414"/>
    <x v="0"/>
    <s v="Name 528"/>
    <x v="3"/>
    <s v="Printer"/>
    <n v="3200"/>
    <n v="6"/>
    <n v="19200"/>
    <n v="1920"/>
  </r>
  <r>
    <n v="529"/>
    <x v="450"/>
    <x v="1"/>
    <x v="415"/>
    <x v="1"/>
    <s v="Name 529"/>
    <x v="0"/>
    <s v="Scanner"/>
    <n v="2900"/>
    <n v="5"/>
    <n v="14500"/>
    <n v="1450"/>
  </r>
  <r>
    <n v="530"/>
    <x v="451"/>
    <x v="1"/>
    <x v="416"/>
    <x v="2"/>
    <s v="Name 530"/>
    <x v="1"/>
    <s v="Keyboard"/>
    <n v="190"/>
    <n v="6"/>
    <n v="1140"/>
    <n v="114"/>
  </r>
  <r>
    <n v="531"/>
    <x v="452"/>
    <x v="1"/>
    <x v="417"/>
    <x v="1"/>
    <s v="Name 531"/>
    <x v="2"/>
    <s v="SSD 256 GB"/>
    <n v="4000"/>
    <n v="5"/>
    <n v="20000"/>
    <n v="2000"/>
  </r>
  <r>
    <n v="532"/>
    <x v="453"/>
    <x v="1"/>
    <x v="418"/>
    <x v="2"/>
    <s v="Name 532"/>
    <x v="3"/>
    <s v="HDD 256 GB"/>
    <n v="1500"/>
    <n v="6"/>
    <n v="9000"/>
    <n v="900"/>
  </r>
  <r>
    <n v="533"/>
    <x v="454"/>
    <x v="1"/>
    <x v="419"/>
    <x v="3"/>
    <s v="Name 533"/>
    <x v="4"/>
    <s v="Mouse"/>
    <n v="210"/>
    <n v="2"/>
    <n v="420"/>
    <n v="42"/>
  </r>
  <r>
    <n v="534"/>
    <x v="455"/>
    <x v="1"/>
    <x v="420"/>
    <x v="0"/>
    <s v="Name 534"/>
    <x v="0"/>
    <s v="Monitor"/>
    <n v="4000"/>
    <n v="3"/>
    <n v="12000"/>
    <n v="1200"/>
  </r>
  <r>
    <n v="535"/>
    <x v="456"/>
    <x v="1"/>
    <x v="421"/>
    <x v="1"/>
    <s v="Name 535"/>
    <x v="1"/>
    <s v="Printer"/>
    <n v="3200"/>
    <n v="5"/>
    <n v="16000"/>
    <n v="1600"/>
  </r>
  <r>
    <n v="536"/>
    <x v="457"/>
    <x v="1"/>
    <x v="422"/>
    <x v="2"/>
    <s v="Name 536"/>
    <x v="2"/>
    <s v="Scanner"/>
    <n v="2900"/>
    <n v="3"/>
    <n v="8700"/>
    <n v="870"/>
  </r>
  <r>
    <n v="537"/>
    <x v="458"/>
    <x v="1"/>
    <x v="423"/>
    <x v="1"/>
    <s v="Name 537"/>
    <x v="3"/>
    <s v="Keyboard"/>
    <n v="190"/>
    <n v="1"/>
    <n v="190"/>
    <n v="19"/>
  </r>
  <r>
    <n v="538"/>
    <x v="459"/>
    <x v="1"/>
    <x v="424"/>
    <x v="2"/>
    <s v="Name 538"/>
    <x v="4"/>
    <s v="SSD 256 GB"/>
    <n v="4000"/>
    <n v="2"/>
    <n v="8000"/>
    <n v="800"/>
  </r>
  <r>
    <n v="539"/>
    <x v="460"/>
    <x v="1"/>
    <x v="425"/>
    <x v="3"/>
    <s v="Name 539"/>
    <x v="0"/>
    <s v="HDD 256 GB"/>
    <n v="1500"/>
    <n v="3"/>
    <n v="4500"/>
    <n v="450"/>
  </r>
  <r>
    <n v="540"/>
    <x v="461"/>
    <x v="1"/>
    <x v="426"/>
    <x v="0"/>
    <s v="Name 540"/>
    <x v="1"/>
    <s v="Mouse"/>
    <n v="210"/>
    <n v="7"/>
    <n v="1470"/>
    <n v="147"/>
  </r>
  <r>
    <n v="541"/>
    <x v="462"/>
    <x v="1"/>
    <x v="427"/>
    <x v="1"/>
    <s v="Name 541"/>
    <x v="2"/>
    <s v="Monitor"/>
    <n v="4000"/>
    <n v="6"/>
    <n v="24000"/>
    <n v="2400"/>
  </r>
  <r>
    <n v="542"/>
    <x v="463"/>
    <x v="1"/>
    <x v="428"/>
    <x v="2"/>
    <s v="Name 542"/>
    <x v="3"/>
    <s v="Printer"/>
    <n v="3200"/>
    <n v="1"/>
    <n v="3200"/>
    <n v="320"/>
  </r>
  <r>
    <n v="543"/>
    <x v="464"/>
    <x v="1"/>
    <x v="429"/>
    <x v="1"/>
    <s v="Name 543"/>
    <x v="4"/>
    <s v="Scanner"/>
    <n v="2900"/>
    <n v="3"/>
    <n v="8700"/>
    <n v="870"/>
  </r>
  <r>
    <n v="544"/>
    <x v="465"/>
    <x v="1"/>
    <x v="430"/>
    <x v="2"/>
    <s v="Name 544"/>
    <x v="0"/>
    <s v="Keyboard"/>
    <n v="190"/>
    <n v="4"/>
    <n v="760"/>
    <n v="76"/>
  </r>
  <r>
    <n v="545"/>
    <x v="466"/>
    <x v="1"/>
    <x v="431"/>
    <x v="3"/>
    <s v="Name 545"/>
    <x v="1"/>
    <s v="SSD 256 GB"/>
    <n v="4000"/>
    <n v="2"/>
    <n v="8000"/>
    <n v="800"/>
  </r>
  <r>
    <n v="546"/>
    <x v="467"/>
    <x v="1"/>
    <x v="432"/>
    <x v="0"/>
    <s v="Name 546"/>
    <x v="2"/>
    <s v="HDD 256 GB"/>
    <n v="1500"/>
    <n v="3"/>
    <n v="4500"/>
    <n v="450"/>
  </r>
  <r>
    <n v="547"/>
    <x v="468"/>
    <x v="1"/>
    <x v="433"/>
    <x v="1"/>
    <s v="Name 547"/>
    <x v="3"/>
    <s v="Mouse"/>
    <n v="210"/>
    <n v="4"/>
    <n v="840"/>
    <n v="84"/>
  </r>
  <r>
    <n v="548"/>
    <x v="469"/>
    <x v="1"/>
    <x v="434"/>
    <x v="2"/>
    <s v="Name 548"/>
    <x v="4"/>
    <s v="Monitor"/>
    <n v="4000"/>
    <n v="5"/>
    <n v="20000"/>
    <n v="2000"/>
  </r>
  <r>
    <n v="549"/>
    <x v="470"/>
    <x v="1"/>
    <x v="435"/>
    <x v="1"/>
    <s v="Name 549"/>
    <x v="0"/>
    <s v="Printer"/>
    <n v="3200"/>
    <n v="6"/>
    <n v="19200"/>
    <n v="1920"/>
  </r>
  <r>
    <n v="550"/>
    <x v="471"/>
    <x v="1"/>
    <x v="436"/>
    <x v="2"/>
    <s v="Name 550"/>
    <x v="1"/>
    <s v="Scanner"/>
    <n v="2900"/>
    <n v="5"/>
    <n v="14500"/>
    <n v="1450"/>
  </r>
  <r>
    <n v="551"/>
    <x v="472"/>
    <x v="1"/>
    <x v="437"/>
    <x v="3"/>
    <s v="Name 551"/>
    <x v="1"/>
    <s v="Keyboard"/>
    <n v="190"/>
    <n v="4"/>
    <n v="760"/>
    <n v="76"/>
  </r>
  <r>
    <n v="552"/>
    <x v="473"/>
    <x v="1"/>
    <x v="438"/>
    <x v="0"/>
    <s v="Name 552"/>
    <x v="1"/>
    <s v="SSD 256 GB"/>
    <n v="4000"/>
    <n v="10"/>
    <n v="40000"/>
    <n v="4000"/>
  </r>
  <r>
    <n v="553"/>
    <x v="474"/>
    <x v="1"/>
    <x v="439"/>
    <x v="1"/>
    <s v="Name 553"/>
    <x v="1"/>
    <s v="HDD 256 GB"/>
    <n v="1500"/>
    <n v="3"/>
    <n v="4500"/>
    <n v="450"/>
  </r>
  <r>
    <n v="554"/>
    <x v="475"/>
    <x v="1"/>
    <x v="440"/>
    <x v="2"/>
    <s v="Name 554"/>
    <x v="1"/>
    <s v="Mouse"/>
    <n v="210"/>
    <n v="4"/>
    <n v="840"/>
    <n v="84"/>
  </r>
  <r>
    <n v="555"/>
    <x v="476"/>
    <x v="1"/>
    <x v="441"/>
    <x v="1"/>
    <s v="Name 555"/>
    <x v="1"/>
    <s v="Monitor"/>
    <n v="4000"/>
    <n v="5"/>
    <n v="20000"/>
    <n v="2000"/>
  </r>
  <r>
    <n v="556"/>
    <x v="477"/>
    <x v="1"/>
    <x v="442"/>
    <x v="2"/>
    <s v="Name 556"/>
    <x v="2"/>
    <s v="Printer"/>
    <n v="3200"/>
    <n v="6"/>
    <n v="19200"/>
    <n v="1920"/>
  </r>
  <r>
    <n v="557"/>
    <x v="478"/>
    <x v="1"/>
    <x v="443"/>
    <x v="3"/>
    <s v="Name 557"/>
    <x v="3"/>
    <s v="Scanner"/>
    <n v="2900"/>
    <n v="5"/>
    <n v="14500"/>
    <n v="1450"/>
  </r>
  <r>
    <n v="558"/>
    <x v="479"/>
    <x v="1"/>
    <x v="444"/>
    <x v="0"/>
    <s v="Name 558"/>
    <x v="4"/>
    <s v="Keyboard"/>
    <n v="190"/>
    <n v="6"/>
    <n v="1140"/>
    <n v="114"/>
  </r>
  <r>
    <n v="559"/>
    <x v="480"/>
    <x v="1"/>
    <x v="445"/>
    <x v="1"/>
    <s v="Name 559"/>
    <x v="0"/>
    <s v="SSD 256 GB"/>
    <n v="4000"/>
    <n v="5"/>
    <n v="20000"/>
    <n v="2000"/>
  </r>
  <r>
    <n v="560"/>
    <x v="481"/>
    <x v="1"/>
    <x v="446"/>
    <x v="2"/>
    <s v="Name 560"/>
    <x v="1"/>
    <s v="HDD 256 GB"/>
    <n v="1500"/>
    <n v="6"/>
    <n v="9000"/>
    <n v="900"/>
  </r>
  <r>
    <n v="561"/>
    <x v="482"/>
    <x v="1"/>
    <x v="447"/>
    <x v="1"/>
    <s v="Name 561"/>
    <x v="2"/>
    <s v="Mouse"/>
    <n v="210"/>
    <n v="2"/>
    <n v="420"/>
    <n v="42"/>
  </r>
  <r>
    <n v="562"/>
    <x v="483"/>
    <x v="1"/>
    <x v="448"/>
    <x v="2"/>
    <s v="Name 562"/>
    <x v="3"/>
    <s v="Monitor"/>
    <n v="4000"/>
    <n v="3"/>
    <n v="12000"/>
    <n v="1200"/>
  </r>
  <r>
    <n v="563"/>
    <x v="484"/>
    <x v="1"/>
    <x v="449"/>
    <x v="3"/>
    <s v="Name 563"/>
    <x v="4"/>
    <s v="Printer"/>
    <n v="3200"/>
    <n v="5"/>
    <n v="16000"/>
    <n v="1600"/>
  </r>
  <r>
    <n v="564"/>
    <x v="485"/>
    <x v="1"/>
    <x v="450"/>
    <x v="0"/>
    <s v="Name 564"/>
    <x v="0"/>
    <s v="Scanner"/>
    <n v="2900"/>
    <n v="3"/>
    <n v="8700"/>
    <n v="870"/>
  </r>
  <r>
    <n v="565"/>
    <x v="486"/>
    <x v="1"/>
    <x v="451"/>
    <x v="1"/>
    <s v="Name 565"/>
    <x v="1"/>
    <s v="Keyboard"/>
    <n v="190"/>
    <n v="1"/>
    <n v="190"/>
    <n v="19"/>
  </r>
  <r>
    <n v="566"/>
    <x v="487"/>
    <x v="1"/>
    <x v="452"/>
    <x v="2"/>
    <s v="Name 566"/>
    <x v="2"/>
    <s v="SSD 256 GB"/>
    <n v="4000"/>
    <n v="2"/>
    <n v="8000"/>
    <n v="800"/>
  </r>
  <r>
    <n v="567"/>
    <x v="488"/>
    <x v="1"/>
    <x v="453"/>
    <x v="1"/>
    <s v="Name 567"/>
    <x v="3"/>
    <s v="HDD 256 GB"/>
    <n v="1500"/>
    <n v="3"/>
    <n v="4500"/>
    <n v="450"/>
  </r>
  <r>
    <n v="568"/>
    <x v="489"/>
    <x v="1"/>
    <x v="454"/>
    <x v="2"/>
    <s v="Name 568"/>
    <x v="4"/>
    <s v="Mouse"/>
    <n v="210"/>
    <n v="7"/>
    <n v="1470"/>
    <n v="147"/>
  </r>
  <r>
    <n v="569"/>
    <x v="490"/>
    <x v="1"/>
    <x v="455"/>
    <x v="3"/>
    <s v="Name 569"/>
    <x v="0"/>
    <s v="Monitor"/>
    <n v="4000"/>
    <n v="6"/>
    <n v="24000"/>
    <n v="2400"/>
  </r>
  <r>
    <n v="570"/>
    <x v="491"/>
    <x v="1"/>
    <x v="456"/>
    <x v="0"/>
    <s v="Name 570"/>
    <x v="1"/>
    <s v="Printer"/>
    <n v="3200"/>
    <n v="1"/>
    <n v="3200"/>
    <n v="320"/>
  </r>
  <r>
    <n v="571"/>
    <x v="492"/>
    <x v="1"/>
    <x v="457"/>
    <x v="1"/>
    <s v="Name 571"/>
    <x v="2"/>
    <s v="Scanner"/>
    <n v="2900"/>
    <n v="3"/>
    <n v="8700"/>
    <n v="870"/>
  </r>
  <r>
    <n v="572"/>
    <x v="493"/>
    <x v="1"/>
    <x v="458"/>
    <x v="2"/>
    <s v="Name 572"/>
    <x v="3"/>
    <s v="Keyboard"/>
    <n v="190"/>
    <n v="4"/>
    <n v="760"/>
    <n v="76"/>
  </r>
  <r>
    <n v="573"/>
    <x v="494"/>
    <x v="1"/>
    <x v="459"/>
    <x v="1"/>
    <s v="Name 573"/>
    <x v="4"/>
    <s v="SSD 256 GB"/>
    <n v="4000"/>
    <n v="2"/>
    <n v="8000"/>
    <n v="800"/>
  </r>
  <r>
    <n v="574"/>
    <x v="495"/>
    <x v="1"/>
    <x v="460"/>
    <x v="2"/>
    <s v="Name 574"/>
    <x v="0"/>
    <s v="HDD 256 GB"/>
    <n v="1500"/>
    <n v="3"/>
    <n v="4500"/>
    <n v="450"/>
  </r>
  <r>
    <n v="575"/>
    <x v="496"/>
    <x v="1"/>
    <x v="461"/>
    <x v="3"/>
    <s v="Name 575"/>
    <x v="1"/>
    <s v="Mouse"/>
    <n v="210"/>
    <n v="4"/>
    <n v="840"/>
    <n v="84"/>
  </r>
  <r>
    <n v="576"/>
    <x v="497"/>
    <x v="1"/>
    <x v="462"/>
    <x v="0"/>
    <s v="Name 576"/>
    <x v="2"/>
    <s v="Monitor"/>
    <n v="4000"/>
    <n v="5"/>
    <n v="20000"/>
    <n v="2000"/>
  </r>
  <r>
    <n v="577"/>
    <x v="498"/>
    <x v="1"/>
    <x v="463"/>
    <x v="1"/>
    <s v="Name 577"/>
    <x v="3"/>
    <s v="Printer"/>
    <n v="3200"/>
    <n v="6"/>
    <n v="19200"/>
    <n v="1920"/>
  </r>
  <r>
    <n v="578"/>
    <x v="499"/>
    <x v="1"/>
    <x v="464"/>
    <x v="2"/>
    <s v="Name 578"/>
    <x v="4"/>
    <s v="Scanner"/>
    <n v="2900"/>
    <n v="5"/>
    <n v="14500"/>
    <n v="1450"/>
  </r>
  <r>
    <n v="579"/>
    <x v="500"/>
    <x v="1"/>
    <x v="465"/>
    <x v="1"/>
    <s v="Name 579"/>
    <x v="0"/>
    <s v="Keyboard"/>
    <n v="190"/>
    <n v="4"/>
    <n v="760"/>
    <n v="76"/>
  </r>
  <r>
    <n v="580"/>
    <x v="501"/>
    <x v="1"/>
    <x v="466"/>
    <x v="2"/>
    <s v="Name 580"/>
    <x v="1"/>
    <s v="SSD 256 GB"/>
    <n v="4000"/>
    <n v="10"/>
    <n v="40000"/>
    <n v="4000"/>
  </r>
  <r>
    <n v="581"/>
    <x v="502"/>
    <x v="1"/>
    <x v="467"/>
    <x v="3"/>
    <s v="Name 581"/>
    <x v="2"/>
    <s v="HDD 256 GB"/>
    <n v="1500"/>
    <n v="3"/>
    <n v="4500"/>
    <n v="450"/>
  </r>
  <r>
    <n v="582"/>
    <x v="503"/>
    <x v="1"/>
    <x v="468"/>
    <x v="0"/>
    <s v="Name 582"/>
    <x v="3"/>
    <s v="Mouse"/>
    <n v="210"/>
    <n v="4"/>
    <n v="840"/>
    <n v="84"/>
  </r>
  <r>
    <n v="583"/>
    <x v="504"/>
    <x v="1"/>
    <x v="469"/>
    <x v="1"/>
    <s v="Name 583"/>
    <x v="4"/>
    <s v="Monitor"/>
    <n v="4000"/>
    <n v="5"/>
    <n v="20000"/>
    <n v="2000"/>
  </r>
  <r>
    <n v="584"/>
    <x v="505"/>
    <x v="1"/>
    <x v="470"/>
    <x v="2"/>
    <s v="Name 584"/>
    <x v="0"/>
    <s v="Printer"/>
    <n v="3200"/>
    <n v="6"/>
    <n v="19200"/>
    <n v="1920"/>
  </r>
  <r>
    <n v="585"/>
    <x v="506"/>
    <x v="1"/>
    <x v="471"/>
    <x v="1"/>
    <s v="Name 585"/>
    <x v="1"/>
    <s v="Scanner"/>
    <n v="2900"/>
    <n v="5"/>
    <n v="14500"/>
    <n v="1450"/>
  </r>
  <r>
    <n v="586"/>
    <x v="507"/>
    <x v="1"/>
    <x v="472"/>
    <x v="2"/>
    <s v="Name 586"/>
    <x v="2"/>
    <s v="Keyboard"/>
    <n v="190"/>
    <n v="6"/>
    <n v="1140"/>
    <n v="114"/>
  </r>
  <r>
    <n v="587"/>
    <x v="508"/>
    <x v="1"/>
    <x v="473"/>
    <x v="3"/>
    <s v="Name 587"/>
    <x v="2"/>
    <s v="SSD 256 GB"/>
    <n v="4000"/>
    <n v="5"/>
    <n v="20000"/>
    <n v="2000"/>
  </r>
  <r>
    <n v="588"/>
    <x v="509"/>
    <x v="1"/>
    <x v="474"/>
    <x v="0"/>
    <s v="Name 588"/>
    <x v="2"/>
    <s v="HDD 256 GB"/>
    <n v="1500"/>
    <n v="6"/>
    <n v="9000"/>
    <n v="900"/>
  </r>
  <r>
    <n v="589"/>
    <x v="510"/>
    <x v="1"/>
    <x v="475"/>
    <x v="1"/>
    <s v="Name 589"/>
    <x v="2"/>
    <s v="Mouse"/>
    <n v="210"/>
    <n v="2"/>
    <n v="420"/>
    <n v="42"/>
  </r>
  <r>
    <n v="590"/>
    <x v="511"/>
    <x v="1"/>
    <x v="476"/>
    <x v="2"/>
    <s v="Name 590"/>
    <x v="2"/>
    <s v="Monitor"/>
    <n v="4000"/>
    <n v="3"/>
    <n v="12000"/>
    <n v="1200"/>
  </r>
  <r>
    <n v="591"/>
    <x v="512"/>
    <x v="1"/>
    <x v="477"/>
    <x v="1"/>
    <s v="Name 591"/>
    <x v="2"/>
    <s v="Printer"/>
    <n v="3200"/>
    <n v="5"/>
    <n v="16000"/>
    <n v="1600"/>
  </r>
  <r>
    <n v="592"/>
    <x v="513"/>
    <x v="1"/>
    <x v="478"/>
    <x v="2"/>
    <s v="Name 592"/>
    <x v="3"/>
    <s v="Scanner"/>
    <n v="2900"/>
    <n v="3"/>
    <n v="8700"/>
    <n v="870"/>
  </r>
  <r>
    <n v="593"/>
    <x v="514"/>
    <x v="1"/>
    <x v="479"/>
    <x v="3"/>
    <s v="Name 593"/>
    <x v="4"/>
    <s v="Keyboard"/>
    <n v="190"/>
    <n v="1"/>
    <n v="190"/>
    <n v="19"/>
  </r>
  <r>
    <n v="594"/>
    <x v="515"/>
    <x v="1"/>
    <x v="480"/>
    <x v="0"/>
    <s v="Name 594"/>
    <x v="0"/>
    <s v="SSD 256 GB"/>
    <n v="4000"/>
    <n v="2"/>
    <n v="8000"/>
    <n v="800"/>
  </r>
  <r>
    <n v="595"/>
    <x v="516"/>
    <x v="1"/>
    <x v="481"/>
    <x v="1"/>
    <s v="Name 595"/>
    <x v="1"/>
    <s v="HDD 256 GB"/>
    <n v="1500"/>
    <n v="3"/>
    <n v="4500"/>
    <n v="450"/>
  </r>
  <r>
    <n v="596"/>
    <x v="517"/>
    <x v="1"/>
    <x v="482"/>
    <x v="2"/>
    <s v="Name 596"/>
    <x v="2"/>
    <s v="Mouse"/>
    <n v="210"/>
    <n v="7"/>
    <n v="1470"/>
    <n v="147"/>
  </r>
  <r>
    <n v="597"/>
    <x v="518"/>
    <x v="1"/>
    <x v="483"/>
    <x v="1"/>
    <s v="Name 597"/>
    <x v="3"/>
    <s v="Monitor"/>
    <n v="4000"/>
    <n v="6"/>
    <n v="24000"/>
    <n v="2400"/>
  </r>
  <r>
    <n v="598"/>
    <x v="519"/>
    <x v="1"/>
    <x v="484"/>
    <x v="2"/>
    <s v="Name 598"/>
    <x v="4"/>
    <s v="Printer"/>
    <n v="3200"/>
    <n v="1"/>
    <n v="3200"/>
    <n v="320"/>
  </r>
  <r>
    <n v="599"/>
    <x v="520"/>
    <x v="1"/>
    <x v="485"/>
    <x v="3"/>
    <s v="Name 599"/>
    <x v="0"/>
    <s v="Scanner"/>
    <n v="2900"/>
    <n v="3"/>
    <n v="8700"/>
    <n v="870"/>
  </r>
  <r>
    <n v="600"/>
    <x v="521"/>
    <x v="1"/>
    <x v="486"/>
    <x v="0"/>
    <s v="Name 600"/>
    <x v="1"/>
    <s v="Keyboard"/>
    <n v="190"/>
    <n v="4"/>
    <n v="760"/>
    <n v="76"/>
  </r>
  <r>
    <n v="601"/>
    <x v="522"/>
    <x v="1"/>
    <x v="487"/>
    <x v="1"/>
    <s v="Name 601"/>
    <x v="2"/>
    <s v="SSD 256 GB"/>
    <n v="4000"/>
    <n v="2"/>
    <n v="8000"/>
    <n v="800"/>
  </r>
  <r>
    <n v="602"/>
    <x v="523"/>
    <x v="1"/>
    <x v="488"/>
    <x v="2"/>
    <s v="Name 602"/>
    <x v="3"/>
    <s v="HDD 256 GB"/>
    <n v="1500"/>
    <n v="3"/>
    <n v="4500"/>
    <n v="450"/>
  </r>
  <r>
    <n v="603"/>
    <x v="524"/>
    <x v="1"/>
    <x v="489"/>
    <x v="1"/>
    <s v="Name 603"/>
    <x v="4"/>
    <s v="Mouse"/>
    <n v="210"/>
    <n v="4"/>
    <n v="840"/>
    <n v="84"/>
  </r>
  <r>
    <n v="604"/>
    <x v="525"/>
    <x v="1"/>
    <x v="490"/>
    <x v="2"/>
    <s v="Name 604"/>
    <x v="0"/>
    <s v="Monitor"/>
    <n v="4000"/>
    <n v="5"/>
    <n v="20000"/>
    <n v="2000"/>
  </r>
  <r>
    <n v="605"/>
    <x v="526"/>
    <x v="1"/>
    <x v="491"/>
    <x v="3"/>
    <s v="Name 605"/>
    <x v="1"/>
    <s v="Printer"/>
    <n v="3200"/>
    <n v="6"/>
    <n v="19200"/>
    <n v="1920"/>
  </r>
  <r>
    <n v="606"/>
    <x v="527"/>
    <x v="1"/>
    <x v="492"/>
    <x v="0"/>
    <s v="Name 606"/>
    <x v="2"/>
    <s v="Scanner"/>
    <n v="2900"/>
    <n v="5"/>
    <n v="14500"/>
    <n v="1450"/>
  </r>
  <r>
    <n v="607"/>
    <x v="528"/>
    <x v="1"/>
    <x v="493"/>
    <x v="1"/>
    <s v="Name 607"/>
    <x v="3"/>
    <s v="Keyboard"/>
    <n v="190"/>
    <n v="4"/>
    <n v="760"/>
    <n v="76"/>
  </r>
  <r>
    <n v="608"/>
    <x v="529"/>
    <x v="1"/>
    <x v="494"/>
    <x v="2"/>
    <s v="Name 608"/>
    <x v="4"/>
    <s v="SSD 256 GB"/>
    <n v="4000"/>
    <n v="10"/>
    <n v="40000"/>
    <n v="4000"/>
  </r>
  <r>
    <n v="609"/>
    <x v="530"/>
    <x v="1"/>
    <x v="495"/>
    <x v="1"/>
    <s v="Name 609"/>
    <x v="0"/>
    <s v="HDD 256 GB"/>
    <n v="1500"/>
    <n v="3"/>
    <n v="4500"/>
    <n v="450"/>
  </r>
  <r>
    <n v="610"/>
    <x v="531"/>
    <x v="1"/>
    <x v="496"/>
    <x v="2"/>
    <s v="Name 610"/>
    <x v="1"/>
    <s v="Mouse"/>
    <n v="210"/>
    <n v="4"/>
    <n v="840"/>
    <n v="84"/>
  </r>
  <r>
    <n v="611"/>
    <x v="532"/>
    <x v="1"/>
    <x v="497"/>
    <x v="3"/>
    <s v="Name 611"/>
    <x v="2"/>
    <s v="Monitor"/>
    <n v="4000"/>
    <n v="5"/>
    <n v="20000"/>
    <n v="2000"/>
  </r>
  <r>
    <n v="612"/>
    <x v="533"/>
    <x v="1"/>
    <x v="498"/>
    <x v="0"/>
    <s v="Name 612"/>
    <x v="3"/>
    <s v="Printer"/>
    <n v="3200"/>
    <n v="6"/>
    <n v="19200"/>
    <n v="1920"/>
  </r>
  <r>
    <n v="613"/>
    <x v="534"/>
    <x v="1"/>
    <x v="499"/>
    <x v="1"/>
    <s v="Name 613"/>
    <x v="4"/>
    <s v="Scanner"/>
    <n v="2900"/>
    <n v="5"/>
    <n v="14500"/>
    <n v="1450"/>
  </r>
  <r>
    <n v="614"/>
    <x v="535"/>
    <x v="1"/>
    <x v="500"/>
    <x v="2"/>
    <s v="Name 614"/>
    <x v="0"/>
    <s v="Keyboard"/>
    <n v="190"/>
    <n v="6"/>
    <n v="1140"/>
    <n v="114"/>
  </r>
  <r>
    <n v="615"/>
    <x v="536"/>
    <x v="1"/>
    <x v="501"/>
    <x v="1"/>
    <s v="Name 615"/>
    <x v="1"/>
    <s v="SSD 256 GB"/>
    <n v="4000"/>
    <n v="5"/>
    <n v="20000"/>
    <n v="2000"/>
  </r>
  <r>
    <n v="616"/>
    <x v="537"/>
    <x v="1"/>
    <x v="502"/>
    <x v="2"/>
    <s v="Name 616"/>
    <x v="2"/>
    <s v="HDD 256 GB"/>
    <n v="1500"/>
    <n v="6"/>
    <n v="9000"/>
    <n v="900"/>
  </r>
  <r>
    <n v="617"/>
    <x v="538"/>
    <x v="1"/>
    <x v="503"/>
    <x v="3"/>
    <s v="Name 617"/>
    <x v="3"/>
    <s v="Mouse"/>
    <n v="210"/>
    <n v="2"/>
    <n v="420"/>
    <n v="42"/>
  </r>
  <r>
    <n v="618"/>
    <x v="539"/>
    <x v="1"/>
    <x v="504"/>
    <x v="0"/>
    <s v="Name 618"/>
    <x v="4"/>
    <s v="Monitor"/>
    <n v="4000"/>
    <n v="3"/>
    <n v="12000"/>
    <n v="1200"/>
  </r>
  <r>
    <n v="619"/>
    <x v="540"/>
    <x v="1"/>
    <x v="505"/>
    <x v="1"/>
    <s v="Name 619"/>
    <x v="0"/>
    <s v="Printer"/>
    <n v="3200"/>
    <n v="5"/>
    <n v="16000"/>
    <n v="1600"/>
  </r>
  <r>
    <n v="620"/>
    <x v="541"/>
    <x v="1"/>
    <x v="506"/>
    <x v="2"/>
    <s v="Name 620"/>
    <x v="1"/>
    <s v="Scanner"/>
    <n v="2900"/>
    <n v="3"/>
    <n v="8700"/>
    <n v="870"/>
  </r>
  <r>
    <n v="621"/>
    <x v="542"/>
    <x v="1"/>
    <x v="507"/>
    <x v="1"/>
    <s v="Name 621"/>
    <x v="2"/>
    <s v="Keyboard"/>
    <n v="190"/>
    <n v="1"/>
    <n v="190"/>
    <n v="19"/>
  </r>
  <r>
    <n v="622"/>
    <x v="543"/>
    <x v="1"/>
    <x v="508"/>
    <x v="2"/>
    <s v="Name 622"/>
    <x v="3"/>
    <s v="SSD 256 GB"/>
    <n v="4000"/>
    <n v="2"/>
    <n v="8000"/>
    <n v="800"/>
  </r>
  <r>
    <n v="623"/>
    <x v="544"/>
    <x v="1"/>
    <x v="509"/>
    <x v="3"/>
    <s v="Name 623"/>
    <x v="4"/>
    <s v="HDD 256 GB"/>
    <n v="1500"/>
    <n v="3"/>
    <n v="4500"/>
    <n v="450"/>
  </r>
  <r>
    <n v="624"/>
    <x v="545"/>
    <x v="1"/>
    <x v="510"/>
    <x v="0"/>
    <s v="Name 624"/>
    <x v="0"/>
    <s v="Mouse"/>
    <n v="210"/>
    <n v="7"/>
    <n v="1470"/>
    <n v="147"/>
  </r>
  <r>
    <n v="625"/>
    <x v="546"/>
    <x v="1"/>
    <x v="511"/>
    <x v="1"/>
    <s v="Name 625"/>
    <x v="1"/>
    <s v="Monitor"/>
    <n v="4000"/>
    <n v="6"/>
    <n v="24000"/>
    <n v="2400"/>
  </r>
  <r>
    <n v="626"/>
    <x v="547"/>
    <x v="1"/>
    <x v="512"/>
    <x v="2"/>
    <s v="Name 626"/>
    <x v="2"/>
    <s v="Printer"/>
    <n v="3200"/>
    <n v="1"/>
    <n v="3200"/>
    <n v="320"/>
  </r>
  <r>
    <n v="627"/>
    <x v="548"/>
    <x v="1"/>
    <x v="513"/>
    <x v="1"/>
    <s v="Name 627"/>
    <x v="3"/>
    <s v="Scanner"/>
    <n v="2900"/>
    <n v="3"/>
    <n v="8700"/>
    <n v="870"/>
  </r>
  <r>
    <n v="628"/>
    <x v="549"/>
    <x v="1"/>
    <x v="514"/>
    <x v="2"/>
    <s v="Name 628"/>
    <x v="4"/>
    <s v="Keyboard"/>
    <n v="190"/>
    <n v="4"/>
    <n v="760"/>
    <n v="76"/>
  </r>
  <r>
    <n v="629"/>
    <x v="550"/>
    <x v="1"/>
    <x v="515"/>
    <x v="3"/>
    <s v="Name 629"/>
    <x v="0"/>
    <s v="SSD 256 GB"/>
    <n v="4000"/>
    <n v="2"/>
    <n v="8000"/>
    <n v="800"/>
  </r>
  <r>
    <n v="630"/>
    <x v="551"/>
    <x v="1"/>
    <x v="516"/>
    <x v="0"/>
    <s v="Name 630"/>
    <x v="1"/>
    <s v="HDD 256 GB"/>
    <n v="1500"/>
    <n v="3"/>
    <n v="4500"/>
    <n v="450"/>
  </r>
  <r>
    <n v="631"/>
    <x v="552"/>
    <x v="1"/>
    <x v="517"/>
    <x v="1"/>
    <s v="Name 631"/>
    <x v="2"/>
    <s v="Mouse"/>
    <n v="210"/>
    <n v="4"/>
    <n v="840"/>
    <n v="84"/>
  </r>
  <r>
    <n v="632"/>
    <x v="553"/>
    <x v="1"/>
    <x v="518"/>
    <x v="2"/>
    <s v="Name 632"/>
    <x v="3"/>
    <s v="Monitor"/>
    <n v="4000"/>
    <n v="5"/>
    <n v="20000"/>
    <n v="2000"/>
  </r>
  <r>
    <n v="633"/>
    <x v="554"/>
    <x v="1"/>
    <x v="519"/>
    <x v="1"/>
    <s v="Name 633"/>
    <x v="4"/>
    <s v="Printer"/>
    <n v="3200"/>
    <n v="6"/>
    <n v="19200"/>
    <n v="1920"/>
  </r>
  <r>
    <n v="634"/>
    <x v="555"/>
    <x v="1"/>
    <x v="520"/>
    <x v="2"/>
    <s v="Name 634"/>
    <x v="0"/>
    <s v="Scanner"/>
    <n v="2900"/>
    <n v="5"/>
    <n v="14500"/>
    <n v="1450"/>
  </r>
  <r>
    <n v="635"/>
    <x v="556"/>
    <x v="1"/>
    <x v="521"/>
    <x v="3"/>
    <s v="Name 635"/>
    <x v="1"/>
    <s v="Keyboard"/>
    <n v="190"/>
    <n v="4"/>
    <n v="760"/>
    <n v="76"/>
  </r>
  <r>
    <n v="636"/>
    <x v="557"/>
    <x v="1"/>
    <x v="522"/>
    <x v="0"/>
    <s v="Name 636"/>
    <x v="2"/>
    <s v="SSD 256 GB"/>
    <n v="4000"/>
    <n v="10"/>
    <n v="40000"/>
    <n v="4000"/>
  </r>
  <r>
    <n v="637"/>
    <x v="558"/>
    <x v="1"/>
    <x v="523"/>
    <x v="1"/>
    <s v="Name 637"/>
    <x v="3"/>
    <s v="HDD 256 GB"/>
    <n v="1500"/>
    <n v="3"/>
    <n v="4500"/>
    <n v="450"/>
  </r>
  <r>
    <n v="638"/>
    <x v="559"/>
    <x v="1"/>
    <x v="524"/>
    <x v="2"/>
    <s v="Name 638"/>
    <x v="4"/>
    <s v="Mouse"/>
    <n v="210"/>
    <n v="3"/>
    <n v="630"/>
    <n v="63"/>
  </r>
  <r>
    <n v="639"/>
    <x v="560"/>
    <x v="1"/>
    <x v="525"/>
    <x v="1"/>
    <s v="Name 639"/>
    <x v="0"/>
    <s v="Monitor"/>
    <n v="4000"/>
    <n v="3"/>
    <n v="12000"/>
    <n v="1200"/>
  </r>
  <r>
    <n v="640"/>
    <x v="561"/>
    <x v="1"/>
    <x v="526"/>
    <x v="2"/>
    <s v="Name 640"/>
    <x v="1"/>
    <s v="Printer"/>
    <n v="3200"/>
    <n v="3"/>
    <n v="9600"/>
    <n v="960"/>
  </r>
  <r>
    <n v="641"/>
    <x v="562"/>
    <x v="1"/>
    <x v="527"/>
    <x v="3"/>
    <s v="Name 641"/>
    <x v="2"/>
    <s v="Scanner"/>
    <n v="2900"/>
    <n v="3"/>
    <n v="8700"/>
    <n v="870"/>
  </r>
  <r>
    <n v="642"/>
    <x v="563"/>
    <x v="1"/>
    <x v="528"/>
    <x v="0"/>
    <s v="Name 642"/>
    <x v="3"/>
    <s v="Keyboard"/>
    <n v="190"/>
    <n v="3"/>
    <n v="570"/>
    <n v="57"/>
  </r>
  <r>
    <n v="643"/>
    <x v="564"/>
    <x v="1"/>
    <x v="529"/>
    <x v="1"/>
    <s v="Name 643"/>
    <x v="4"/>
    <s v="SSD 256 GB"/>
    <n v="4000"/>
    <n v="3"/>
    <n v="12000"/>
    <n v="1200"/>
  </r>
  <r>
    <n v="644"/>
    <x v="565"/>
    <x v="1"/>
    <x v="530"/>
    <x v="2"/>
    <s v="Name 644"/>
    <x v="0"/>
    <s v="HDD 256 GB"/>
    <n v="1500"/>
    <n v="3"/>
    <n v="4500"/>
    <n v="450"/>
  </r>
  <r>
    <n v="645"/>
    <x v="566"/>
    <x v="1"/>
    <x v="531"/>
    <x v="1"/>
    <s v="Name 645"/>
    <x v="1"/>
    <s v="Mouse"/>
    <n v="210"/>
    <n v="3"/>
    <n v="630"/>
    <n v="63"/>
  </r>
  <r>
    <n v="646"/>
    <x v="567"/>
    <x v="1"/>
    <x v="532"/>
    <x v="2"/>
    <s v="Name 646"/>
    <x v="2"/>
    <s v="Monitor"/>
    <n v="4000"/>
    <n v="3"/>
    <n v="12000"/>
    <n v="1200"/>
  </r>
  <r>
    <n v="647"/>
    <x v="568"/>
    <x v="1"/>
    <x v="533"/>
    <x v="3"/>
    <s v="Name 647"/>
    <x v="3"/>
    <s v="Printer"/>
    <n v="3200"/>
    <n v="3"/>
    <n v="9600"/>
    <n v="960"/>
  </r>
  <r>
    <n v="648"/>
    <x v="569"/>
    <x v="1"/>
    <x v="534"/>
    <x v="0"/>
    <s v="Name 648"/>
    <x v="4"/>
    <s v="Scanner"/>
    <n v="2900"/>
    <n v="3"/>
    <n v="8700"/>
    <n v="870"/>
  </r>
  <r>
    <n v="649"/>
    <x v="570"/>
    <x v="1"/>
    <x v="535"/>
    <x v="1"/>
    <s v="Name 649"/>
    <x v="0"/>
    <s v="Keyboard"/>
    <n v="190"/>
    <n v="3"/>
    <n v="570"/>
    <n v="57"/>
  </r>
  <r>
    <n v="650"/>
    <x v="571"/>
    <x v="1"/>
    <x v="536"/>
    <x v="2"/>
    <s v="Name 650"/>
    <x v="1"/>
    <s v="SSD 256 GB"/>
    <n v="4000"/>
    <n v="30"/>
    <n v="120000"/>
    <n v="12000"/>
  </r>
  <r>
    <n v="651"/>
    <x v="572"/>
    <x v="1"/>
    <x v="537"/>
    <x v="1"/>
    <s v="Name 651"/>
    <x v="2"/>
    <s v="HDD 256 GB"/>
    <n v="1500"/>
    <n v="3"/>
    <n v="4500"/>
    <n v="450"/>
  </r>
  <r>
    <n v="652"/>
    <x v="573"/>
    <x v="1"/>
    <x v="538"/>
    <x v="2"/>
    <s v="Name 652"/>
    <x v="3"/>
    <s v="Mouse"/>
    <n v="210"/>
    <n v="3"/>
    <n v="630"/>
    <n v="63"/>
  </r>
  <r>
    <n v="653"/>
    <x v="574"/>
    <x v="1"/>
    <x v="539"/>
    <x v="3"/>
    <s v="Name 653"/>
    <x v="4"/>
    <s v="Monitor"/>
    <n v="4000"/>
    <n v="3"/>
    <n v="12000"/>
    <n v="1200"/>
  </r>
  <r>
    <n v="654"/>
    <x v="575"/>
    <x v="1"/>
    <x v="540"/>
    <x v="0"/>
    <s v="Name 654"/>
    <x v="0"/>
    <s v="Printer"/>
    <n v="3200"/>
    <n v="3"/>
    <n v="9600"/>
    <n v="960"/>
  </r>
  <r>
    <n v="655"/>
    <x v="576"/>
    <x v="1"/>
    <x v="541"/>
    <x v="1"/>
    <s v="Name 655"/>
    <x v="1"/>
    <s v="Scanner"/>
    <n v="2900"/>
    <n v="3"/>
    <n v="8700"/>
    <n v="870"/>
  </r>
  <r>
    <n v="656"/>
    <x v="577"/>
    <x v="1"/>
    <x v="542"/>
    <x v="2"/>
    <s v="Name 656"/>
    <x v="2"/>
    <s v="Keyboard"/>
    <n v="190"/>
    <n v="3"/>
    <n v="570"/>
    <n v="57"/>
  </r>
  <r>
    <n v="657"/>
    <x v="578"/>
    <x v="1"/>
    <x v="543"/>
    <x v="1"/>
    <s v="Name 657"/>
    <x v="3"/>
    <s v="SSD 256 GB"/>
    <n v="4000"/>
    <n v="3"/>
    <n v="12000"/>
    <n v="1200"/>
  </r>
  <r>
    <n v="658"/>
    <x v="579"/>
    <x v="1"/>
    <x v="544"/>
    <x v="2"/>
    <s v="Name 658"/>
    <x v="4"/>
    <s v="HDD 256 GB"/>
    <n v="1500"/>
    <n v="3"/>
    <n v="4500"/>
    <n v="450"/>
  </r>
  <r>
    <n v="659"/>
    <x v="580"/>
    <x v="1"/>
    <x v="545"/>
    <x v="3"/>
    <s v="Name 659"/>
    <x v="0"/>
    <s v="Mouse"/>
    <n v="210"/>
    <n v="3"/>
    <n v="630"/>
    <n v="63"/>
  </r>
  <r>
    <n v="660"/>
    <x v="581"/>
    <x v="1"/>
    <x v="546"/>
    <x v="0"/>
    <s v="Name 660"/>
    <x v="1"/>
    <s v="Monitor"/>
    <n v="4000"/>
    <n v="3"/>
    <n v="12000"/>
    <n v="1200"/>
  </r>
  <r>
    <n v="661"/>
    <x v="582"/>
    <x v="1"/>
    <x v="547"/>
    <x v="1"/>
    <s v="Name 661"/>
    <x v="2"/>
    <s v="Printer"/>
    <n v="3200"/>
    <n v="3"/>
    <n v="9600"/>
    <n v="960"/>
  </r>
  <r>
    <n v="662"/>
    <x v="583"/>
    <x v="1"/>
    <x v="548"/>
    <x v="2"/>
    <s v="Name 662"/>
    <x v="3"/>
    <s v="Scanner"/>
    <n v="2900"/>
    <n v="3"/>
    <n v="8700"/>
    <n v="870"/>
  </r>
  <r>
    <n v="663"/>
    <x v="584"/>
    <x v="1"/>
    <x v="549"/>
    <x v="1"/>
    <s v="Name 663"/>
    <x v="4"/>
    <s v="Keyboard"/>
    <n v="190"/>
    <n v="3"/>
    <n v="570"/>
    <n v="57"/>
  </r>
  <r>
    <n v="664"/>
    <x v="585"/>
    <x v="1"/>
    <x v="550"/>
    <x v="2"/>
    <s v="Name 664"/>
    <x v="0"/>
    <s v="SSD 256 GB"/>
    <n v="4000"/>
    <n v="3"/>
    <n v="12000"/>
    <n v="1200"/>
  </r>
  <r>
    <n v="665"/>
    <x v="586"/>
    <x v="1"/>
    <x v="551"/>
    <x v="3"/>
    <s v="Name 665"/>
    <x v="1"/>
    <s v="HDD 256 GB"/>
    <n v="1500"/>
    <n v="3"/>
    <n v="4500"/>
    <n v="450"/>
  </r>
  <r>
    <n v="666"/>
    <x v="587"/>
    <x v="1"/>
    <x v="552"/>
    <x v="0"/>
    <s v="Name 666"/>
    <x v="2"/>
    <s v="Mouse"/>
    <n v="210"/>
    <n v="3"/>
    <n v="630"/>
    <n v="63"/>
  </r>
  <r>
    <n v="667"/>
    <x v="588"/>
    <x v="1"/>
    <x v="553"/>
    <x v="1"/>
    <s v="Name 667"/>
    <x v="3"/>
    <s v="Monitor"/>
    <n v="4000"/>
    <n v="3"/>
    <n v="12000"/>
    <n v="1200"/>
  </r>
  <r>
    <n v="668"/>
    <x v="589"/>
    <x v="1"/>
    <x v="554"/>
    <x v="2"/>
    <s v="Name 668"/>
    <x v="4"/>
    <s v="Printer"/>
    <n v="3200"/>
    <n v="3"/>
    <n v="9600"/>
    <n v="960"/>
  </r>
  <r>
    <n v="669"/>
    <x v="590"/>
    <x v="1"/>
    <x v="555"/>
    <x v="1"/>
    <s v="Name 669"/>
    <x v="0"/>
    <s v="Scanner"/>
    <n v="2900"/>
    <n v="3"/>
    <n v="8700"/>
    <n v="870"/>
  </r>
  <r>
    <n v="670"/>
    <x v="591"/>
    <x v="1"/>
    <x v="556"/>
    <x v="2"/>
    <s v="Name 670"/>
    <x v="1"/>
    <s v="Keyboard"/>
    <n v="190"/>
    <n v="22"/>
    <n v="4180"/>
    <n v="418"/>
  </r>
  <r>
    <n v="671"/>
    <x v="592"/>
    <x v="1"/>
    <x v="557"/>
    <x v="3"/>
    <s v="Name 671"/>
    <x v="2"/>
    <s v="SSD 256 GB"/>
    <n v="4000"/>
    <n v="3"/>
    <n v="12000"/>
    <n v="1200"/>
  </r>
  <r>
    <n v="672"/>
    <x v="593"/>
    <x v="1"/>
    <x v="558"/>
    <x v="0"/>
    <s v="Name 672"/>
    <x v="3"/>
    <s v="HDD 256 GB"/>
    <n v="1500"/>
    <n v="3"/>
    <n v="4500"/>
    <n v="450"/>
  </r>
  <r>
    <n v="673"/>
    <x v="594"/>
    <x v="1"/>
    <x v="559"/>
    <x v="1"/>
    <s v="Name 673"/>
    <x v="4"/>
    <s v="Mouse"/>
    <n v="210"/>
    <n v="22"/>
    <n v="4620"/>
    <n v="462"/>
  </r>
  <r>
    <n v="674"/>
    <x v="595"/>
    <x v="1"/>
    <x v="560"/>
    <x v="2"/>
    <s v="Name 674"/>
    <x v="0"/>
    <s v="Monitor"/>
    <n v="4000"/>
    <n v="3"/>
    <n v="12000"/>
    <n v="1200"/>
  </r>
  <r>
    <n v="675"/>
    <x v="596"/>
    <x v="1"/>
    <x v="561"/>
    <x v="1"/>
    <s v="Name 675"/>
    <x v="1"/>
    <s v="Printer"/>
    <n v="3200"/>
    <n v="32"/>
    <n v="102400"/>
    <n v="10240"/>
  </r>
  <r>
    <n v="676"/>
    <x v="597"/>
    <x v="1"/>
    <x v="562"/>
    <x v="2"/>
    <s v="Name 676"/>
    <x v="2"/>
    <s v="Scanner"/>
    <n v="2900"/>
    <n v="3"/>
    <n v="8700"/>
    <n v="870"/>
  </r>
  <r>
    <n v="677"/>
    <x v="598"/>
    <x v="1"/>
    <x v="563"/>
    <x v="3"/>
    <s v="Name 677"/>
    <x v="3"/>
    <s v="Keyboard"/>
    <n v="190"/>
    <n v="3"/>
    <n v="570"/>
    <n v="57"/>
  </r>
  <r>
    <n v="678"/>
    <x v="599"/>
    <x v="1"/>
    <x v="564"/>
    <x v="0"/>
    <s v="Name 678"/>
    <x v="4"/>
    <s v="SSD 256 GB"/>
    <n v="4000"/>
    <n v="3"/>
    <n v="12000"/>
    <n v="1200"/>
  </r>
  <r>
    <n v="679"/>
    <x v="600"/>
    <x v="1"/>
    <x v="565"/>
    <x v="1"/>
    <s v="Name 679"/>
    <x v="0"/>
    <s v="HDD 256 GB"/>
    <n v="1500"/>
    <n v="3"/>
    <n v="4500"/>
    <n v="450"/>
  </r>
  <r>
    <n v="680"/>
    <x v="601"/>
    <x v="1"/>
    <x v="566"/>
    <x v="2"/>
    <s v="Name 680"/>
    <x v="1"/>
    <s v="Mouse"/>
    <n v="210"/>
    <n v="7"/>
    <n v="1470"/>
    <n v="147"/>
  </r>
  <r>
    <n v="681"/>
    <x v="602"/>
    <x v="1"/>
    <x v="567"/>
    <x v="1"/>
    <s v="Name 681"/>
    <x v="2"/>
    <s v="Monitor"/>
    <n v="4000"/>
    <n v="6"/>
    <n v="24000"/>
    <n v="2400"/>
  </r>
  <r>
    <n v="682"/>
    <x v="603"/>
    <x v="1"/>
    <x v="568"/>
    <x v="2"/>
    <s v="Name 682"/>
    <x v="3"/>
    <s v="Printer"/>
    <n v="3200"/>
    <n v="1"/>
    <n v="3200"/>
    <n v="320"/>
  </r>
  <r>
    <n v="683"/>
    <x v="604"/>
    <x v="1"/>
    <x v="569"/>
    <x v="3"/>
    <s v="Name 683"/>
    <x v="4"/>
    <s v="Scanner"/>
    <n v="2900"/>
    <n v="3"/>
    <n v="8700"/>
    <n v="870"/>
  </r>
  <r>
    <n v="684"/>
    <x v="605"/>
    <x v="1"/>
    <x v="570"/>
    <x v="0"/>
    <s v="Name 684"/>
    <x v="0"/>
    <s v="Keyboard"/>
    <n v="190"/>
    <n v="4"/>
    <n v="760"/>
    <n v="76"/>
  </r>
  <r>
    <n v="685"/>
    <x v="606"/>
    <x v="1"/>
    <x v="571"/>
    <x v="1"/>
    <s v="Name 685"/>
    <x v="1"/>
    <s v="SSD 256 GB"/>
    <n v="4000"/>
    <n v="2"/>
    <n v="8000"/>
    <n v="800"/>
  </r>
  <r>
    <n v="686"/>
    <x v="607"/>
    <x v="1"/>
    <x v="572"/>
    <x v="2"/>
    <s v="Name 686"/>
    <x v="2"/>
    <s v="HDD 256 GB"/>
    <n v="1500"/>
    <n v="3"/>
    <n v="4500"/>
    <n v="450"/>
  </r>
  <r>
    <n v="687"/>
    <x v="608"/>
    <x v="1"/>
    <x v="573"/>
    <x v="1"/>
    <s v="Name 687"/>
    <x v="3"/>
    <s v="Mouse"/>
    <n v="210"/>
    <n v="4"/>
    <n v="840"/>
    <n v="84"/>
  </r>
  <r>
    <n v="688"/>
    <x v="609"/>
    <x v="1"/>
    <x v="574"/>
    <x v="2"/>
    <s v="Name 688"/>
    <x v="4"/>
    <s v="Monitor"/>
    <n v="4000"/>
    <n v="5"/>
    <n v="20000"/>
    <n v="2000"/>
  </r>
  <r>
    <n v="689"/>
    <x v="610"/>
    <x v="1"/>
    <x v="575"/>
    <x v="3"/>
    <s v="Name 689"/>
    <x v="0"/>
    <s v="Printer"/>
    <n v="3200"/>
    <n v="1"/>
    <n v="3200"/>
    <n v="320"/>
  </r>
  <r>
    <n v="690"/>
    <x v="611"/>
    <x v="1"/>
    <x v="576"/>
    <x v="0"/>
    <s v="Name 690"/>
    <x v="1"/>
    <s v="Scanner"/>
    <n v="2900"/>
    <n v="1"/>
    <n v="2900"/>
    <n v="290"/>
  </r>
  <r>
    <n v="691"/>
    <x v="612"/>
    <x v="1"/>
    <x v="577"/>
    <x v="1"/>
    <s v="Name 691"/>
    <x v="2"/>
    <s v="Keyboard"/>
    <n v="190"/>
    <n v="1"/>
    <n v="190"/>
    <n v="19"/>
  </r>
  <r>
    <n v="692"/>
    <x v="613"/>
    <x v="1"/>
    <x v="578"/>
    <x v="2"/>
    <s v="Name 692"/>
    <x v="3"/>
    <s v="SSD 256 GB"/>
    <n v="4000"/>
    <n v="1"/>
    <n v="4000"/>
    <n v="400"/>
  </r>
  <r>
    <n v="693"/>
    <x v="614"/>
    <x v="1"/>
    <x v="579"/>
    <x v="1"/>
    <s v="Name 693"/>
    <x v="4"/>
    <s v="HDD 256 GB"/>
    <n v="1500"/>
    <n v="1"/>
    <n v="1500"/>
    <n v="150"/>
  </r>
  <r>
    <n v="694"/>
    <x v="615"/>
    <x v="1"/>
    <x v="580"/>
    <x v="2"/>
    <s v="Name 694"/>
    <x v="0"/>
    <s v="Mouse"/>
    <n v="210"/>
    <n v="1"/>
    <n v="210"/>
    <n v="21"/>
  </r>
  <r>
    <n v="695"/>
    <x v="616"/>
    <x v="1"/>
    <x v="581"/>
    <x v="3"/>
    <s v="Name 695"/>
    <x v="1"/>
    <s v="Monitor"/>
    <n v="4000"/>
    <n v="1"/>
    <n v="4000"/>
    <n v="400"/>
  </r>
  <r>
    <n v="696"/>
    <x v="617"/>
    <x v="1"/>
    <x v="582"/>
    <x v="0"/>
    <s v="Name 696"/>
    <x v="2"/>
    <s v="Printer"/>
    <n v="3200"/>
    <n v="1"/>
    <n v="3200"/>
    <n v="320"/>
  </r>
  <r>
    <n v="697"/>
    <x v="618"/>
    <x v="1"/>
    <x v="583"/>
    <x v="1"/>
    <s v="Name 697"/>
    <x v="3"/>
    <s v="Scanner"/>
    <n v="2900"/>
    <n v="1"/>
    <n v="2900"/>
    <n v="290"/>
  </r>
  <r>
    <n v="698"/>
    <x v="619"/>
    <x v="1"/>
    <x v="584"/>
    <x v="2"/>
    <s v="Name 698"/>
    <x v="4"/>
    <s v="Keyboard"/>
    <n v="190"/>
    <n v="1"/>
    <n v="190"/>
    <n v="19"/>
  </r>
  <r>
    <n v="699"/>
    <x v="620"/>
    <x v="1"/>
    <x v="585"/>
    <x v="1"/>
    <s v="Name 699"/>
    <x v="0"/>
    <s v="SSD 256 GB"/>
    <n v="4000"/>
    <n v="1"/>
    <n v="4000"/>
    <n v="400"/>
  </r>
  <r>
    <n v="700"/>
    <x v="621"/>
    <x v="1"/>
    <x v="586"/>
    <x v="2"/>
    <s v="Name 700"/>
    <x v="1"/>
    <s v="HDD 256 GB"/>
    <n v="1500"/>
    <n v="1"/>
    <n v="1500"/>
    <n v="150"/>
  </r>
  <r>
    <n v="701"/>
    <x v="622"/>
    <x v="1"/>
    <x v="587"/>
    <x v="3"/>
    <s v="Name 701"/>
    <x v="2"/>
    <s v="Mouse"/>
    <n v="210"/>
    <n v="1"/>
    <n v="210"/>
    <n v="21"/>
  </r>
  <r>
    <n v="702"/>
    <x v="623"/>
    <x v="1"/>
    <x v="588"/>
    <x v="0"/>
    <s v="Name 702"/>
    <x v="3"/>
    <s v="Monitor"/>
    <n v="4000"/>
    <n v="1"/>
    <n v="4000"/>
    <n v="400"/>
  </r>
  <r>
    <n v="703"/>
    <x v="624"/>
    <x v="1"/>
    <x v="589"/>
    <x v="1"/>
    <s v="Name 703"/>
    <x v="4"/>
    <s v="Printer"/>
    <n v="3200"/>
    <n v="1"/>
    <n v="3200"/>
    <n v="320"/>
  </r>
  <r>
    <n v="704"/>
    <x v="625"/>
    <x v="1"/>
    <x v="590"/>
    <x v="2"/>
    <s v="Name 704"/>
    <x v="0"/>
    <s v="Scanner"/>
    <n v="2900"/>
    <n v="1"/>
    <n v="2900"/>
    <n v="290"/>
  </r>
  <r>
    <n v="705"/>
    <x v="626"/>
    <x v="1"/>
    <x v="591"/>
    <x v="1"/>
    <s v="Name 705"/>
    <x v="1"/>
    <s v="Keyboard"/>
    <n v="190"/>
    <n v="1"/>
    <n v="190"/>
    <n v="19"/>
  </r>
  <r>
    <n v="706"/>
    <x v="627"/>
    <x v="1"/>
    <x v="592"/>
    <x v="2"/>
    <s v="Name 706"/>
    <x v="2"/>
    <s v="SSD 256 GB"/>
    <n v="4000"/>
    <n v="1"/>
    <n v="4000"/>
    <n v="400"/>
  </r>
  <r>
    <n v="707"/>
    <x v="628"/>
    <x v="1"/>
    <x v="593"/>
    <x v="3"/>
    <s v="Name 707"/>
    <x v="3"/>
    <s v="HDD 256 GB"/>
    <n v="1500"/>
    <n v="1"/>
    <n v="1500"/>
    <n v="150"/>
  </r>
  <r>
    <n v="708"/>
    <x v="629"/>
    <x v="1"/>
    <x v="594"/>
    <x v="0"/>
    <s v="Name 708"/>
    <x v="4"/>
    <s v="Mouse"/>
    <n v="210"/>
    <n v="1"/>
    <n v="210"/>
    <n v="21"/>
  </r>
  <r>
    <n v="709"/>
    <x v="630"/>
    <x v="1"/>
    <x v="595"/>
    <x v="1"/>
    <s v="Name 709"/>
    <x v="0"/>
    <s v="Monitor"/>
    <n v="4000"/>
    <n v="1"/>
    <n v="4000"/>
    <n v="400"/>
  </r>
  <r>
    <n v="710"/>
    <x v="631"/>
    <x v="1"/>
    <x v="596"/>
    <x v="2"/>
    <s v="Name 710"/>
    <x v="1"/>
    <s v="Printer"/>
    <n v="3200"/>
    <n v="1"/>
    <n v="3200"/>
    <n v="320"/>
  </r>
  <r>
    <n v="711"/>
    <x v="632"/>
    <x v="1"/>
    <x v="597"/>
    <x v="1"/>
    <s v="Name 711"/>
    <x v="2"/>
    <s v="Scanner"/>
    <n v="2900"/>
    <n v="1"/>
    <n v="2900"/>
    <n v="290"/>
  </r>
  <r>
    <n v="712"/>
    <x v="633"/>
    <x v="1"/>
    <x v="598"/>
    <x v="2"/>
    <s v="Name 712"/>
    <x v="3"/>
    <s v="Keyboard"/>
    <n v="190"/>
    <n v="3"/>
    <n v="570"/>
    <n v="57"/>
  </r>
  <r>
    <n v="713"/>
    <x v="634"/>
    <x v="1"/>
    <x v="599"/>
    <x v="3"/>
    <s v="Name 713"/>
    <x v="4"/>
    <s v="SSD 256 GB"/>
    <n v="4000"/>
    <n v="1"/>
    <n v="4000"/>
    <n v="400"/>
  </r>
  <r>
    <n v="714"/>
    <x v="635"/>
    <x v="1"/>
    <x v="600"/>
    <x v="0"/>
    <s v="Name 714"/>
    <x v="0"/>
    <s v="HDD 256 GB"/>
    <n v="1500"/>
    <n v="1"/>
    <n v="1500"/>
    <n v="150"/>
  </r>
  <r>
    <n v="715"/>
    <x v="636"/>
    <x v="1"/>
    <x v="601"/>
    <x v="1"/>
    <s v="Name 715"/>
    <x v="1"/>
    <s v="Mouse"/>
    <n v="210"/>
    <n v="4"/>
    <n v="840"/>
    <n v="84"/>
  </r>
  <r>
    <n v="716"/>
    <x v="637"/>
    <x v="1"/>
    <x v="602"/>
    <x v="2"/>
    <s v="Name 716"/>
    <x v="2"/>
    <s v="Monitor"/>
    <n v="4000"/>
    <n v="1"/>
    <n v="4000"/>
    <n v="400"/>
  </r>
  <r>
    <n v="717"/>
    <x v="638"/>
    <x v="1"/>
    <x v="603"/>
    <x v="1"/>
    <s v="Name 717"/>
    <x v="3"/>
    <s v="Printer"/>
    <n v="3200"/>
    <n v="1"/>
    <n v="3200"/>
    <n v="320"/>
  </r>
  <r>
    <n v="718"/>
    <x v="639"/>
    <x v="1"/>
    <x v="604"/>
    <x v="2"/>
    <s v="Name 718"/>
    <x v="4"/>
    <s v="Scanner"/>
    <n v="2900"/>
    <n v="1"/>
    <n v="2900"/>
    <n v="290"/>
  </r>
  <r>
    <n v="719"/>
    <x v="640"/>
    <x v="1"/>
    <x v="605"/>
    <x v="3"/>
    <s v="Name 719"/>
    <x v="0"/>
    <s v="Keyboard"/>
    <n v="190"/>
    <n v="1"/>
    <n v="190"/>
    <n v="19"/>
  </r>
  <r>
    <n v="720"/>
    <x v="641"/>
    <x v="1"/>
    <x v="606"/>
    <x v="0"/>
    <s v="Name 720"/>
    <x v="1"/>
    <s v="SSD 256 GB"/>
    <n v="4000"/>
    <n v="1"/>
    <n v="4000"/>
    <n v="400"/>
  </r>
  <r>
    <n v="721"/>
    <x v="642"/>
    <x v="1"/>
    <x v="607"/>
    <x v="1"/>
    <s v="Name 721"/>
    <x v="2"/>
    <s v="HDD 256 GB"/>
    <n v="1500"/>
    <n v="4"/>
    <n v="6000"/>
    <n v="600"/>
  </r>
  <r>
    <n v="722"/>
    <x v="643"/>
    <x v="1"/>
    <x v="608"/>
    <x v="2"/>
    <s v="Name 722"/>
    <x v="3"/>
    <s v="Mouse"/>
    <n v="210"/>
    <n v="1"/>
    <n v="210"/>
    <n v="21"/>
  </r>
  <r>
    <n v="723"/>
    <x v="644"/>
    <x v="1"/>
    <x v="609"/>
    <x v="1"/>
    <s v="Name 723"/>
    <x v="4"/>
    <s v="Monitor"/>
    <n v="4000"/>
    <n v="4"/>
    <n v="16000"/>
    <n v="1600"/>
  </r>
  <r>
    <n v="724"/>
    <x v="645"/>
    <x v="1"/>
    <x v="610"/>
    <x v="2"/>
    <s v="Name 724"/>
    <x v="0"/>
    <s v="Printer"/>
    <n v="3200"/>
    <n v="1"/>
    <n v="3200"/>
    <n v="320"/>
  </r>
  <r>
    <n v="725"/>
    <x v="646"/>
    <x v="1"/>
    <x v="611"/>
    <x v="3"/>
    <s v="Name 725"/>
    <x v="1"/>
    <s v="Scanner"/>
    <n v="2900"/>
    <n v="1"/>
    <n v="2900"/>
    <n v="290"/>
  </r>
  <r>
    <n v="726"/>
    <x v="647"/>
    <x v="1"/>
    <x v="612"/>
    <x v="0"/>
    <s v="Name 726"/>
    <x v="2"/>
    <s v="Keyboard"/>
    <n v="190"/>
    <n v="1"/>
    <n v="190"/>
    <n v="19"/>
  </r>
  <r>
    <n v="727"/>
    <x v="648"/>
    <x v="1"/>
    <x v="613"/>
    <x v="1"/>
    <s v="Name 727"/>
    <x v="3"/>
    <s v="SSD 256 GB"/>
    <n v="4000"/>
    <n v="1"/>
    <n v="4000"/>
    <n v="400"/>
  </r>
  <r>
    <n v="728"/>
    <x v="649"/>
    <x v="1"/>
    <x v="614"/>
    <x v="2"/>
    <s v="Name 728"/>
    <x v="4"/>
    <s v="HDD 256 GB"/>
    <n v="1500"/>
    <n v="1"/>
    <n v="1500"/>
    <n v="150"/>
  </r>
  <r>
    <n v="729"/>
    <x v="650"/>
    <x v="1"/>
    <x v="615"/>
    <x v="1"/>
    <s v="Name 729"/>
    <x v="0"/>
    <s v="Mouse"/>
    <n v="210"/>
    <n v="2"/>
    <n v="420"/>
    <n v="42"/>
  </r>
  <r>
    <n v="730"/>
    <x v="651"/>
    <x v="1"/>
    <x v="616"/>
    <x v="2"/>
    <s v="Name 730"/>
    <x v="1"/>
    <s v="Monitor"/>
    <n v="4000"/>
    <n v="3"/>
    <n v="12000"/>
    <n v="1200"/>
  </r>
  <r>
    <n v="731"/>
    <x v="652"/>
    <x v="1"/>
    <x v="617"/>
    <x v="3"/>
    <s v="Name 731"/>
    <x v="2"/>
    <s v="Printer"/>
    <n v="3200"/>
    <n v="5"/>
    <n v="16000"/>
    <n v="1600"/>
  </r>
  <r>
    <n v="732"/>
    <x v="653"/>
    <x v="2"/>
    <x v="618"/>
    <x v="0"/>
    <s v="Name 732"/>
    <x v="3"/>
    <s v="Scanner"/>
    <n v="2900"/>
    <n v="3"/>
    <n v="8700"/>
    <n v="870"/>
  </r>
  <r>
    <n v="733"/>
    <x v="654"/>
    <x v="2"/>
    <x v="619"/>
    <x v="1"/>
    <s v="Name 733"/>
    <x v="4"/>
    <s v="Keyboard"/>
    <n v="190"/>
    <n v="1"/>
    <n v="190"/>
    <n v="19"/>
  </r>
  <r>
    <n v="734"/>
    <x v="655"/>
    <x v="2"/>
    <x v="620"/>
    <x v="2"/>
    <s v="Name 734"/>
    <x v="0"/>
    <s v="SSD 256 GB"/>
    <n v="4000"/>
    <n v="2"/>
    <n v="8000"/>
    <n v="800"/>
  </r>
  <r>
    <n v="735"/>
    <x v="656"/>
    <x v="2"/>
    <x v="621"/>
    <x v="1"/>
    <s v="Name 735"/>
    <x v="1"/>
    <s v="HDD 256 GB"/>
    <n v="1500"/>
    <n v="3"/>
    <n v="4500"/>
    <n v="450"/>
  </r>
  <r>
    <n v="736"/>
    <x v="657"/>
    <x v="2"/>
    <x v="622"/>
    <x v="2"/>
    <s v="Name 736"/>
    <x v="2"/>
    <s v="Keyboard"/>
    <n v="210"/>
    <n v="5"/>
    <n v="1050"/>
    <n v="105"/>
  </r>
  <r>
    <n v="737"/>
    <x v="658"/>
    <x v="2"/>
    <x v="623"/>
    <x v="3"/>
    <s v="Name 737"/>
    <x v="3"/>
    <s v="SSD 256 GB"/>
    <n v="4000"/>
    <n v="6"/>
    <n v="24000"/>
    <n v="2400"/>
  </r>
  <r>
    <n v="738"/>
    <x v="659"/>
    <x v="2"/>
    <x v="624"/>
    <x v="0"/>
    <s v="Name 738"/>
    <x v="4"/>
    <s v="HDD 256 GB"/>
    <n v="3200"/>
    <n v="5"/>
    <n v="16000"/>
    <n v="1600"/>
  </r>
  <r>
    <n v="739"/>
    <x v="660"/>
    <x v="2"/>
    <x v="625"/>
    <x v="1"/>
    <s v="Name 739"/>
    <x v="0"/>
    <s v="Keyboard"/>
    <n v="2900"/>
    <n v="6"/>
    <n v="17400"/>
    <n v="1740"/>
  </r>
  <r>
    <n v="740"/>
    <x v="661"/>
    <x v="2"/>
    <x v="626"/>
    <x v="2"/>
    <s v="Name 740"/>
    <x v="1"/>
    <s v="SSD 256 GB"/>
    <n v="190"/>
    <n v="5"/>
    <n v="950"/>
    <n v="95"/>
  </r>
  <r>
    <n v="741"/>
    <x v="662"/>
    <x v="2"/>
    <x v="627"/>
    <x v="1"/>
    <s v="Name 741"/>
    <x v="2"/>
    <s v="HDD 256 GB"/>
    <n v="4000"/>
    <n v="6"/>
    <n v="24000"/>
    <n v="2400"/>
  </r>
  <r>
    <n v="742"/>
    <x v="663"/>
    <x v="2"/>
    <x v="605"/>
    <x v="2"/>
    <s v="Name 719"/>
    <x v="3"/>
    <s v="Keyboard"/>
    <n v="1500"/>
    <n v="2"/>
    <n v="3000"/>
    <n v="300"/>
  </r>
  <r>
    <n v="743"/>
    <x v="664"/>
    <x v="2"/>
    <x v="606"/>
    <x v="3"/>
    <s v="Name 720"/>
    <x v="4"/>
    <s v="SSD 256 GB"/>
    <n v="210"/>
    <n v="3"/>
    <n v="630"/>
    <n v="63"/>
  </r>
  <r>
    <n v="744"/>
    <x v="665"/>
    <x v="2"/>
    <x v="607"/>
    <x v="0"/>
    <s v="Name 721"/>
    <x v="0"/>
    <s v="HDD 256 GB"/>
    <n v="4000"/>
    <n v="3"/>
    <n v="12000"/>
    <n v="1200"/>
  </r>
  <r>
    <n v="745"/>
    <x v="666"/>
    <x v="2"/>
    <x v="608"/>
    <x v="1"/>
    <s v="Name 722"/>
    <x v="1"/>
    <s v="Mouse"/>
    <n v="3200"/>
    <n v="4"/>
    <n v="12800"/>
    <n v="1280"/>
  </r>
  <r>
    <n v="746"/>
    <x v="667"/>
    <x v="2"/>
    <x v="609"/>
    <x v="2"/>
    <s v="Name 723"/>
    <x v="2"/>
    <s v="Monitor"/>
    <n v="2900"/>
    <n v="5"/>
    <n v="14500"/>
    <n v="1450"/>
  </r>
  <r>
    <n v="747"/>
    <x v="668"/>
    <x v="2"/>
    <x v="610"/>
    <x v="1"/>
    <s v="Name 724"/>
    <x v="3"/>
    <s v="Printer"/>
    <n v="190"/>
    <n v="6"/>
    <n v="1140"/>
    <n v="114"/>
  </r>
  <r>
    <n v="748"/>
    <x v="669"/>
    <x v="2"/>
    <x v="611"/>
    <x v="2"/>
    <s v="Name 725"/>
    <x v="4"/>
    <s v="Scanner"/>
    <n v="4000"/>
    <n v="5"/>
    <n v="20000"/>
    <n v="2000"/>
  </r>
  <r>
    <n v="749"/>
    <x v="670"/>
    <x v="2"/>
    <x v="612"/>
    <x v="3"/>
    <s v="Name 726"/>
    <x v="0"/>
    <s v="Keyboard"/>
    <n v="1500"/>
    <n v="6"/>
    <n v="9000"/>
    <n v="900"/>
  </r>
  <r>
    <n v="750"/>
    <x v="671"/>
    <x v="2"/>
    <x v="613"/>
    <x v="0"/>
    <s v="Name 727"/>
    <x v="1"/>
    <s v="SSD 256 GB"/>
    <n v="210"/>
    <n v="5"/>
    <n v="1050"/>
    <n v="105"/>
  </r>
  <r>
    <n v="751"/>
    <x v="672"/>
    <x v="2"/>
    <x v="614"/>
    <x v="1"/>
    <s v="Name 728"/>
    <x v="2"/>
    <s v="HDD 256 GB"/>
    <n v="4000"/>
    <n v="6"/>
    <n v="24000"/>
    <n v="2400"/>
  </r>
  <r>
    <n v="752"/>
    <x v="673"/>
    <x v="2"/>
    <x v="615"/>
    <x v="2"/>
    <s v="Name 729"/>
    <x v="3"/>
    <s v="Mouse"/>
    <n v="3200"/>
    <n v="2"/>
    <n v="6400"/>
    <n v="640"/>
  </r>
  <r>
    <n v="753"/>
    <x v="674"/>
    <x v="2"/>
    <x v="616"/>
    <x v="1"/>
    <s v="Name 730"/>
    <x v="4"/>
    <s v="Monitor"/>
    <n v="2900"/>
    <n v="3"/>
    <n v="8700"/>
    <n v="870"/>
  </r>
  <r>
    <n v="754"/>
    <x v="675"/>
    <x v="2"/>
    <x v="617"/>
    <x v="2"/>
    <s v="Name 731"/>
    <x v="0"/>
    <s v="Printer"/>
    <n v="190"/>
    <n v="5"/>
    <n v="950"/>
    <n v="95"/>
  </r>
  <r>
    <n v="755"/>
    <x v="676"/>
    <x v="2"/>
    <x v="618"/>
    <x v="3"/>
    <s v="Name 732"/>
    <x v="1"/>
    <s v="Scanner"/>
    <n v="4000"/>
    <n v="3"/>
    <n v="12000"/>
    <n v="1200"/>
  </r>
  <r>
    <n v="756"/>
    <x v="677"/>
    <x v="2"/>
    <x v="619"/>
    <x v="0"/>
    <s v="Name 733"/>
    <x v="2"/>
    <s v="Keyboard"/>
    <n v="1500"/>
    <n v="1"/>
    <n v="1500"/>
    <n v="150"/>
  </r>
  <r>
    <n v="757"/>
    <x v="678"/>
    <x v="2"/>
    <x v="620"/>
    <x v="1"/>
    <s v="Name 734"/>
    <x v="3"/>
    <s v="SSD 256 GB"/>
    <n v="210"/>
    <n v="2"/>
    <n v="420"/>
    <n v="42"/>
  </r>
  <r>
    <n v="758"/>
    <x v="679"/>
    <x v="2"/>
    <x v="621"/>
    <x v="2"/>
    <s v="Name 735"/>
    <x v="4"/>
    <s v="HDD 256 GB"/>
    <n v="4000"/>
    <n v="5"/>
    <n v="20000"/>
    <n v="2000"/>
  </r>
  <r>
    <n v="759"/>
    <x v="680"/>
    <x v="2"/>
    <x v="622"/>
    <x v="1"/>
    <s v="Name 736"/>
    <x v="0"/>
    <s v="Keyboard"/>
    <n v="3200"/>
    <n v="6"/>
    <n v="19200"/>
    <n v="1920"/>
  </r>
  <r>
    <n v="760"/>
    <x v="681"/>
    <x v="2"/>
    <x v="623"/>
    <x v="2"/>
    <s v="Name 737"/>
    <x v="1"/>
    <s v="SSD 256 GB"/>
    <n v="2900"/>
    <n v="2"/>
    <n v="5800"/>
    <n v="580"/>
  </r>
  <r>
    <n v="761"/>
    <x v="682"/>
    <x v="2"/>
    <x v="624"/>
    <x v="3"/>
    <s v="Name 738"/>
    <x v="2"/>
    <s v="HDD 256 GB"/>
    <n v="190"/>
    <n v="3"/>
    <n v="570"/>
    <n v="57"/>
  </r>
  <r>
    <n v="762"/>
    <x v="683"/>
    <x v="2"/>
    <x v="625"/>
    <x v="0"/>
    <s v="Name 739"/>
    <x v="3"/>
    <s v="Keyboard"/>
    <n v="4000"/>
    <n v="5"/>
    <n v="20000"/>
    <n v="2000"/>
  </r>
  <r>
    <n v="763"/>
    <x v="684"/>
    <x v="2"/>
    <x v="626"/>
    <x v="1"/>
    <s v="Name 740"/>
    <x v="4"/>
    <s v="SSD 256 GB"/>
    <n v="1500"/>
    <n v="3"/>
    <n v="4500"/>
    <n v="450"/>
  </r>
  <r>
    <n v="764"/>
    <x v="685"/>
    <x v="2"/>
    <x v="627"/>
    <x v="2"/>
    <s v="Name 741"/>
    <x v="0"/>
    <s v="HDD 256 GB"/>
    <n v="210"/>
    <n v="1"/>
    <n v="210"/>
    <n v="21"/>
  </r>
  <r>
    <n v="765"/>
    <x v="686"/>
    <x v="2"/>
    <x v="605"/>
    <x v="1"/>
    <s v="Name 719"/>
    <x v="1"/>
    <s v="Keyboard"/>
    <n v="4000"/>
    <n v="4"/>
    <n v="16000"/>
    <n v="1600"/>
  </r>
  <r>
    <n v="766"/>
    <x v="687"/>
    <x v="2"/>
    <x v="606"/>
    <x v="2"/>
    <s v="Name 720"/>
    <x v="2"/>
    <s v="SSD 256 GB"/>
    <n v="3200"/>
    <n v="10"/>
    <n v="32000"/>
    <n v="3200"/>
  </r>
  <r>
    <n v="767"/>
    <x v="688"/>
    <x v="2"/>
    <x v="607"/>
    <x v="3"/>
    <s v="Name 721"/>
    <x v="3"/>
    <s v="HDD 256 GB"/>
    <n v="2900"/>
    <n v="3"/>
    <n v="8700"/>
    <n v="870"/>
  </r>
  <r>
    <n v="768"/>
    <x v="689"/>
    <x v="2"/>
    <x v="608"/>
    <x v="0"/>
    <s v="Name 722"/>
    <x v="4"/>
    <s v="Mouse"/>
    <n v="190"/>
    <n v="4"/>
    <n v="760"/>
    <n v="76"/>
  </r>
  <r>
    <n v="769"/>
    <x v="690"/>
    <x v="2"/>
    <x v="609"/>
    <x v="1"/>
    <s v="Name 723"/>
    <x v="0"/>
    <s v="Monitor"/>
    <n v="4000"/>
    <n v="5"/>
    <n v="20000"/>
    <n v="2000"/>
  </r>
  <r>
    <n v="770"/>
    <x v="691"/>
    <x v="2"/>
    <x v="610"/>
    <x v="2"/>
    <s v="Name 724"/>
    <x v="1"/>
    <s v="Printer"/>
    <n v="1500"/>
    <n v="6"/>
    <n v="9000"/>
    <n v="900"/>
  </r>
  <r>
    <n v="771"/>
    <x v="692"/>
    <x v="2"/>
    <x v="611"/>
    <x v="1"/>
    <s v="Name 725"/>
    <x v="2"/>
    <s v="Scanner"/>
    <n v="210"/>
    <n v="5"/>
    <n v="1050"/>
    <n v="105"/>
  </r>
  <r>
    <n v="772"/>
    <x v="693"/>
    <x v="2"/>
    <x v="612"/>
    <x v="2"/>
    <s v="Name 726"/>
    <x v="3"/>
    <s v="Keyboard"/>
    <n v="4000"/>
    <n v="6"/>
    <n v="24000"/>
    <n v="2400"/>
  </r>
  <r>
    <n v="773"/>
    <x v="694"/>
    <x v="2"/>
    <x v="613"/>
    <x v="3"/>
    <s v="Name 727"/>
    <x v="4"/>
    <s v="SSD 256 GB"/>
    <n v="3200"/>
    <n v="5"/>
    <n v="16000"/>
    <n v="1600"/>
  </r>
  <r>
    <n v="774"/>
    <x v="695"/>
    <x v="2"/>
    <x v="614"/>
    <x v="0"/>
    <s v="Name 728"/>
    <x v="0"/>
    <s v="HDD 256 GB"/>
    <n v="2900"/>
    <n v="6"/>
    <n v="17400"/>
    <n v="1740"/>
  </r>
  <r>
    <n v="775"/>
    <x v="696"/>
    <x v="2"/>
    <x v="615"/>
    <x v="1"/>
    <s v="Name 729"/>
    <x v="1"/>
    <s v="Mouse"/>
    <n v="190"/>
    <n v="2"/>
    <n v="380"/>
    <n v="38"/>
  </r>
  <r>
    <n v="776"/>
    <x v="697"/>
    <x v="2"/>
    <x v="616"/>
    <x v="2"/>
    <s v="Name 730"/>
    <x v="2"/>
    <s v="Monitor"/>
    <n v="4000"/>
    <n v="3"/>
    <n v="12000"/>
    <n v="1200"/>
  </r>
  <r>
    <n v="777"/>
    <x v="698"/>
    <x v="2"/>
    <x v="617"/>
    <x v="1"/>
    <s v="Name 731"/>
    <x v="3"/>
    <s v="Printer"/>
    <n v="1500"/>
    <n v="5"/>
    <n v="7500"/>
    <n v="750"/>
  </r>
  <r>
    <n v="778"/>
    <x v="699"/>
    <x v="2"/>
    <x v="618"/>
    <x v="2"/>
    <s v="Name 732"/>
    <x v="4"/>
    <s v="Scanner"/>
    <n v="210"/>
    <n v="3"/>
    <n v="630"/>
    <n v="63"/>
  </r>
  <r>
    <n v="779"/>
    <x v="700"/>
    <x v="2"/>
    <x v="619"/>
    <x v="3"/>
    <s v="Name 733"/>
    <x v="0"/>
    <s v="Keyboard"/>
    <n v="4000"/>
    <n v="1"/>
    <n v="4000"/>
    <n v="400"/>
  </r>
  <r>
    <n v="780"/>
    <x v="701"/>
    <x v="2"/>
    <x v="620"/>
    <x v="0"/>
    <s v="Name 734"/>
    <x v="1"/>
    <s v="SSD 256 GB"/>
    <n v="3200"/>
    <n v="2"/>
    <n v="6400"/>
    <n v="640"/>
  </r>
  <r>
    <n v="781"/>
    <x v="702"/>
    <x v="2"/>
    <x v="621"/>
    <x v="1"/>
    <s v="Name 735"/>
    <x v="2"/>
    <s v="HDD 256 GB"/>
    <n v="2900"/>
    <n v="3"/>
    <n v="8700"/>
    <n v="870"/>
  </r>
  <r>
    <n v="782"/>
    <x v="703"/>
    <x v="2"/>
    <x v="622"/>
    <x v="2"/>
    <s v="Name 736"/>
    <x v="3"/>
    <s v="Keyboard"/>
    <n v="190"/>
    <n v="5"/>
    <n v="950"/>
    <n v="95"/>
  </r>
  <r>
    <n v="783"/>
    <x v="704"/>
    <x v="2"/>
    <x v="623"/>
    <x v="1"/>
    <s v="Name 737"/>
    <x v="4"/>
    <s v="SSD 256 GB"/>
    <n v="4000"/>
    <n v="6"/>
    <n v="24000"/>
    <n v="2400"/>
  </r>
  <r>
    <n v="784"/>
    <x v="705"/>
    <x v="2"/>
    <x v="624"/>
    <x v="2"/>
    <s v="Name 738"/>
    <x v="0"/>
    <s v="HDD 256 GB"/>
    <n v="1500"/>
    <n v="2"/>
    <n v="3000"/>
    <n v="300"/>
  </r>
  <r>
    <n v="785"/>
    <x v="706"/>
    <x v="2"/>
    <x v="625"/>
    <x v="3"/>
    <s v="Name 739"/>
    <x v="1"/>
    <s v="Keyboard"/>
    <n v="210"/>
    <n v="3"/>
    <n v="630"/>
    <n v="63"/>
  </r>
  <r>
    <n v="786"/>
    <x v="707"/>
    <x v="2"/>
    <x v="626"/>
    <x v="0"/>
    <s v="Name 740"/>
    <x v="2"/>
    <s v="SSD 256 GB"/>
    <n v="4000"/>
    <n v="5"/>
    <n v="20000"/>
    <n v="2000"/>
  </r>
  <r>
    <n v="787"/>
    <x v="708"/>
    <x v="2"/>
    <x v="627"/>
    <x v="1"/>
    <s v="Name 741"/>
    <x v="3"/>
    <s v="HDD 256 GB"/>
    <n v="3200"/>
    <n v="3"/>
    <n v="9600"/>
    <n v="960"/>
  </r>
  <r>
    <n v="788"/>
    <x v="709"/>
    <x v="2"/>
    <x v="605"/>
    <x v="2"/>
    <s v="Name 719"/>
    <x v="4"/>
    <s v="Keyboard"/>
    <n v="2900"/>
    <n v="1"/>
    <n v="2900"/>
    <n v="290"/>
  </r>
  <r>
    <n v="789"/>
    <x v="710"/>
    <x v="2"/>
    <x v="606"/>
    <x v="1"/>
    <s v="Name 720"/>
    <x v="0"/>
    <s v="SSD 256 GB"/>
    <n v="190"/>
    <n v="10"/>
    <n v="1900"/>
    <n v="190"/>
  </r>
  <r>
    <n v="790"/>
    <x v="711"/>
    <x v="2"/>
    <x v="607"/>
    <x v="2"/>
    <s v="Name 721"/>
    <x v="1"/>
    <s v="HDD 256 GB"/>
    <n v="4000"/>
    <n v="3"/>
    <n v="12000"/>
    <n v="1200"/>
  </r>
  <r>
    <n v="791"/>
    <x v="712"/>
    <x v="2"/>
    <x v="608"/>
    <x v="3"/>
    <s v="Name 722"/>
    <x v="2"/>
    <s v="Mouse"/>
    <n v="1500"/>
    <n v="4"/>
    <n v="6000"/>
    <n v="600"/>
  </r>
  <r>
    <n v="792"/>
    <x v="713"/>
    <x v="2"/>
    <x v="609"/>
    <x v="0"/>
    <s v="Name 723"/>
    <x v="3"/>
    <s v="Monitor"/>
    <n v="210"/>
    <n v="5"/>
    <n v="1050"/>
    <n v="105"/>
  </r>
  <r>
    <n v="793"/>
    <x v="714"/>
    <x v="2"/>
    <x v="610"/>
    <x v="1"/>
    <s v="Name 724"/>
    <x v="4"/>
    <s v="Printer"/>
    <n v="4000"/>
    <n v="6"/>
    <n v="24000"/>
    <n v="2400"/>
  </r>
  <r>
    <n v="794"/>
    <x v="715"/>
    <x v="2"/>
    <x v="611"/>
    <x v="2"/>
    <s v="Name 725"/>
    <x v="0"/>
    <s v="Scanner"/>
    <n v="3200"/>
    <n v="5"/>
    <n v="16000"/>
    <n v="1600"/>
  </r>
  <r>
    <n v="795"/>
    <x v="716"/>
    <x v="2"/>
    <x v="612"/>
    <x v="1"/>
    <s v="Name 726"/>
    <x v="1"/>
    <s v="Keyboard"/>
    <n v="2900"/>
    <n v="6"/>
    <n v="17400"/>
    <n v="1740"/>
  </r>
  <r>
    <n v="796"/>
    <x v="717"/>
    <x v="2"/>
    <x v="613"/>
    <x v="2"/>
    <s v="Name 727"/>
    <x v="2"/>
    <s v="SSD 256 GB"/>
    <n v="190"/>
    <n v="5"/>
    <n v="950"/>
    <n v="95"/>
  </r>
  <r>
    <n v="797"/>
    <x v="718"/>
    <x v="2"/>
    <x v="614"/>
    <x v="3"/>
    <s v="Name 728"/>
    <x v="3"/>
    <s v="HDD 256 GB"/>
    <n v="4000"/>
    <n v="6"/>
    <n v="24000"/>
    <n v="2400"/>
  </r>
  <r>
    <n v="798"/>
    <x v="719"/>
    <x v="2"/>
    <x v="615"/>
    <x v="0"/>
    <s v="Name 729"/>
    <x v="4"/>
    <s v="Mouse"/>
    <n v="1500"/>
    <n v="2"/>
    <n v="3000"/>
    <n v="300"/>
  </r>
  <r>
    <n v="799"/>
    <x v="720"/>
    <x v="2"/>
    <x v="616"/>
    <x v="1"/>
    <s v="Name 730"/>
    <x v="0"/>
    <s v="Monitor"/>
    <n v="210"/>
    <n v="3"/>
    <n v="630"/>
    <n v="63"/>
  </r>
  <r>
    <n v="800"/>
    <x v="721"/>
    <x v="2"/>
    <x v="617"/>
    <x v="2"/>
    <s v="Name 731"/>
    <x v="1"/>
    <s v="Printer"/>
    <n v="4000"/>
    <n v="5"/>
    <n v="20000"/>
    <n v="2000"/>
  </r>
  <r>
    <n v="801"/>
    <x v="722"/>
    <x v="2"/>
    <x v="618"/>
    <x v="1"/>
    <s v="Name 732"/>
    <x v="2"/>
    <s v="Scanner"/>
    <n v="3200"/>
    <n v="3"/>
    <n v="9600"/>
    <n v="960"/>
  </r>
  <r>
    <n v="802"/>
    <x v="723"/>
    <x v="2"/>
    <x v="619"/>
    <x v="2"/>
    <s v="Name 733"/>
    <x v="3"/>
    <s v="Keyboard"/>
    <n v="2900"/>
    <n v="1"/>
    <n v="2900"/>
    <n v="290"/>
  </r>
  <r>
    <n v="803"/>
    <x v="724"/>
    <x v="2"/>
    <x v="620"/>
    <x v="3"/>
    <s v="Name 734"/>
    <x v="4"/>
    <s v="SSD 256 GB"/>
    <n v="190"/>
    <n v="2"/>
    <n v="380"/>
    <n v="38"/>
  </r>
  <r>
    <n v="804"/>
    <x v="725"/>
    <x v="2"/>
    <x v="621"/>
    <x v="0"/>
    <s v="Name 735"/>
    <x v="0"/>
    <s v="HDD 256 GB"/>
    <n v="4000"/>
    <n v="3"/>
    <n v="12000"/>
    <n v="1200"/>
  </r>
  <r>
    <n v="805"/>
    <x v="726"/>
    <x v="2"/>
    <x v="622"/>
    <x v="1"/>
    <s v="Name 736"/>
    <x v="1"/>
    <s v="Keyboard"/>
    <n v="1500"/>
    <n v="5"/>
    <n v="7500"/>
    <n v="750"/>
  </r>
  <r>
    <n v="806"/>
    <x v="727"/>
    <x v="2"/>
    <x v="623"/>
    <x v="2"/>
    <s v="Name 737"/>
    <x v="2"/>
    <s v="SSD 256 GB"/>
    <n v="210"/>
    <n v="6"/>
    <n v="1260"/>
    <n v="126"/>
  </r>
  <r>
    <n v="807"/>
    <x v="728"/>
    <x v="2"/>
    <x v="624"/>
    <x v="1"/>
    <s v="Name 738"/>
    <x v="3"/>
    <s v="HDD 256 GB"/>
    <n v="4000"/>
    <n v="2"/>
    <n v="8000"/>
    <n v="800"/>
  </r>
  <r>
    <n v="808"/>
    <x v="729"/>
    <x v="2"/>
    <x v="625"/>
    <x v="2"/>
    <s v="Name 739"/>
    <x v="4"/>
    <s v="Keyboard"/>
    <n v="3200"/>
    <n v="3"/>
    <n v="9600"/>
    <n v="960"/>
  </r>
  <r>
    <n v="809"/>
    <x v="730"/>
    <x v="2"/>
    <x v="626"/>
    <x v="3"/>
    <s v="Name 740"/>
    <x v="0"/>
    <s v="SSD 256 GB"/>
    <n v="2900"/>
    <n v="5"/>
    <n v="14500"/>
    <n v="1450"/>
  </r>
  <r>
    <n v="810"/>
    <x v="731"/>
    <x v="2"/>
    <x v="627"/>
    <x v="0"/>
    <s v="Name 741"/>
    <x v="1"/>
    <s v="HDD 256 GB"/>
    <n v="190"/>
    <n v="3"/>
    <n v="570"/>
    <n v="57"/>
  </r>
  <r>
    <n v="811"/>
    <x v="732"/>
    <x v="2"/>
    <x v="605"/>
    <x v="1"/>
    <s v="Name 719"/>
    <x v="2"/>
    <s v="Keyboard"/>
    <n v="4000"/>
    <n v="1"/>
    <n v="4000"/>
    <n v="400"/>
  </r>
  <r>
    <n v="812"/>
    <x v="733"/>
    <x v="2"/>
    <x v="606"/>
    <x v="2"/>
    <s v="Name 720"/>
    <x v="3"/>
    <s v="SSD 256 GB"/>
    <n v="1500"/>
    <n v="10"/>
    <n v="15000"/>
    <n v="1500"/>
  </r>
  <r>
    <n v="813"/>
    <x v="734"/>
    <x v="2"/>
    <x v="607"/>
    <x v="1"/>
    <s v="Name 721"/>
    <x v="4"/>
    <s v="HDD 256 GB"/>
    <n v="210"/>
    <n v="3"/>
    <n v="630"/>
    <n v="63"/>
  </r>
  <r>
    <n v="814"/>
    <x v="735"/>
    <x v="2"/>
    <x v="608"/>
    <x v="2"/>
    <s v="Name 722"/>
    <x v="0"/>
    <s v="Mouse"/>
    <n v="4000"/>
    <n v="4"/>
    <n v="16000"/>
    <n v="1600"/>
  </r>
  <r>
    <n v="815"/>
    <x v="736"/>
    <x v="2"/>
    <x v="609"/>
    <x v="3"/>
    <s v="Name 723"/>
    <x v="1"/>
    <s v="Monitor"/>
    <n v="3200"/>
    <n v="5"/>
    <n v="16000"/>
    <n v="1600"/>
  </r>
  <r>
    <n v="816"/>
    <x v="737"/>
    <x v="2"/>
    <x v="610"/>
    <x v="0"/>
    <s v="Name 724"/>
    <x v="2"/>
    <s v="Printer"/>
    <n v="2900"/>
    <n v="6"/>
    <n v="17400"/>
    <n v="1740"/>
  </r>
  <r>
    <n v="817"/>
    <x v="738"/>
    <x v="2"/>
    <x v="611"/>
    <x v="1"/>
    <s v="Name 725"/>
    <x v="3"/>
    <s v="Scanner"/>
    <n v="190"/>
    <n v="5"/>
    <n v="950"/>
    <n v="95"/>
  </r>
  <r>
    <n v="818"/>
    <x v="739"/>
    <x v="2"/>
    <x v="612"/>
    <x v="2"/>
    <s v="Name 726"/>
    <x v="4"/>
    <s v="Keyboard"/>
    <n v="4000"/>
    <n v="6"/>
    <n v="24000"/>
    <n v="2400"/>
  </r>
  <r>
    <n v="819"/>
    <x v="740"/>
    <x v="2"/>
    <x v="613"/>
    <x v="1"/>
    <s v="Name 727"/>
    <x v="0"/>
    <s v="SSD 256 GB"/>
    <n v="1500"/>
    <n v="5"/>
    <n v="7500"/>
    <n v="750"/>
  </r>
  <r>
    <n v="820"/>
    <x v="741"/>
    <x v="2"/>
    <x v="614"/>
    <x v="2"/>
    <s v="Name 728"/>
    <x v="1"/>
    <s v="HDD 256 GB"/>
    <n v="210"/>
    <n v="6"/>
    <n v="1260"/>
    <n v="126"/>
  </r>
  <r>
    <n v="821"/>
    <x v="742"/>
    <x v="2"/>
    <x v="615"/>
    <x v="3"/>
    <s v="Name 729"/>
    <x v="2"/>
    <s v="Mouse"/>
    <n v="4000"/>
    <n v="2"/>
    <n v="8000"/>
    <n v="800"/>
  </r>
  <r>
    <n v="822"/>
    <x v="743"/>
    <x v="2"/>
    <x v="616"/>
    <x v="0"/>
    <s v="Name 730"/>
    <x v="3"/>
    <s v="Monitor"/>
    <n v="3200"/>
    <n v="3"/>
    <n v="9600"/>
    <n v="960"/>
  </r>
  <r>
    <n v="823"/>
    <x v="744"/>
    <x v="2"/>
    <x v="617"/>
    <x v="1"/>
    <s v="Name 731"/>
    <x v="4"/>
    <s v="Printer"/>
    <n v="2900"/>
    <n v="5"/>
    <n v="14500"/>
    <n v="1450"/>
  </r>
  <r>
    <n v="824"/>
    <x v="745"/>
    <x v="2"/>
    <x v="618"/>
    <x v="2"/>
    <s v="Name 732"/>
    <x v="0"/>
    <s v="Scanner"/>
    <n v="190"/>
    <n v="3"/>
    <n v="570"/>
    <n v="57"/>
  </r>
  <r>
    <n v="825"/>
    <x v="746"/>
    <x v="2"/>
    <x v="619"/>
    <x v="1"/>
    <s v="Name 733"/>
    <x v="1"/>
    <s v="Keyboard"/>
    <n v="4000"/>
    <n v="1"/>
    <n v="4000"/>
    <n v="400"/>
  </r>
  <r>
    <n v="826"/>
    <x v="747"/>
    <x v="2"/>
    <x v="620"/>
    <x v="2"/>
    <s v="Name 734"/>
    <x v="2"/>
    <s v="SSD 256 GB"/>
    <n v="1500"/>
    <n v="2"/>
    <n v="3000"/>
    <n v="300"/>
  </r>
  <r>
    <n v="827"/>
    <x v="748"/>
    <x v="2"/>
    <x v="621"/>
    <x v="3"/>
    <s v="Name 735"/>
    <x v="3"/>
    <s v="HDD 256 GB"/>
    <n v="210"/>
    <n v="3"/>
    <n v="630"/>
    <n v="63"/>
  </r>
  <r>
    <n v="828"/>
    <x v="749"/>
    <x v="2"/>
    <x v="622"/>
    <x v="0"/>
    <s v="Name 736"/>
    <x v="4"/>
    <s v="Keyboard"/>
    <n v="4000"/>
    <n v="5"/>
    <n v="20000"/>
    <n v="2000"/>
  </r>
  <r>
    <n v="829"/>
    <x v="750"/>
    <x v="2"/>
    <x v="623"/>
    <x v="1"/>
    <s v="Name 737"/>
    <x v="0"/>
    <s v="SSD 256 GB"/>
    <n v="3200"/>
    <n v="6"/>
    <n v="19200"/>
    <n v="1920"/>
  </r>
  <r>
    <n v="830"/>
    <x v="751"/>
    <x v="2"/>
    <x v="624"/>
    <x v="2"/>
    <s v="Name 738"/>
    <x v="1"/>
    <s v="HDD 256 GB"/>
    <n v="2900"/>
    <n v="2"/>
    <n v="5800"/>
    <n v="580"/>
  </r>
  <r>
    <n v="831"/>
    <x v="752"/>
    <x v="2"/>
    <x v="625"/>
    <x v="1"/>
    <s v="Name 739"/>
    <x v="2"/>
    <s v="Keyboard"/>
    <n v="190"/>
    <n v="3"/>
    <n v="570"/>
    <n v="57"/>
  </r>
  <r>
    <n v="832"/>
    <x v="753"/>
    <x v="2"/>
    <x v="626"/>
    <x v="2"/>
    <s v="Name 740"/>
    <x v="3"/>
    <s v="SSD 256 GB"/>
    <n v="4000"/>
    <n v="5"/>
    <n v="20000"/>
    <n v="2000"/>
  </r>
  <r>
    <n v="833"/>
    <x v="754"/>
    <x v="2"/>
    <x v="627"/>
    <x v="3"/>
    <s v="Name 741"/>
    <x v="4"/>
    <s v="HDD 256 GB"/>
    <n v="1500"/>
    <n v="3"/>
    <n v="4500"/>
    <n v="450"/>
  </r>
  <r>
    <n v="834"/>
    <x v="755"/>
    <x v="2"/>
    <x v="605"/>
    <x v="0"/>
    <s v="Name 719"/>
    <x v="0"/>
    <s v="Keyboard"/>
    <n v="210"/>
    <n v="1"/>
    <n v="210"/>
    <n v="21"/>
  </r>
  <r>
    <n v="835"/>
    <x v="756"/>
    <x v="2"/>
    <x v="606"/>
    <x v="1"/>
    <s v="Name 720"/>
    <x v="1"/>
    <s v="SSD 256 GB"/>
    <n v="4000"/>
    <n v="10"/>
    <n v="40000"/>
    <n v="4000"/>
  </r>
  <r>
    <n v="836"/>
    <x v="757"/>
    <x v="2"/>
    <x v="607"/>
    <x v="2"/>
    <s v="Name 721"/>
    <x v="2"/>
    <s v="HDD 256 GB"/>
    <n v="3200"/>
    <n v="3"/>
    <n v="9600"/>
    <n v="960"/>
  </r>
  <r>
    <n v="837"/>
    <x v="758"/>
    <x v="2"/>
    <x v="608"/>
    <x v="1"/>
    <s v="Name 722"/>
    <x v="3"/>
    <s v="Mouse"/>
    <n v="2900"/>
    <n v="4"/>
    <n v="11600"/>
    <n v="1160"/>
  </r>
  <r>
    <n v="838"/>
    <x v="759"/>
    <x v="2"/>
    <x v="609"/>
    <x v="2"/>
    <s v="Name 723"/>
    <x v="4"/>
    <s v="Monitor"/>
    <n v="190"/>
    <n v="5"/>
    <n v="950"/>
    <n v="95"/>
  </r>
  <r>
    <n v="839"/>
    <x v="760"/>
    <x v="2"/>
    <x v="610"/>
    <x v="3"/>
    <s v="Name 724"/>
    <x v="0"/>
    <s v="Printer"/>
    <n v="4000"/>
    <n v="6"/>
    <n v="24000"/>
    <n v="2400"/>
  </r>
  <r>
    <n v="840"/>
    <x v="761"/>
    <x v="2"/>
    <x v="611"/>
    <x v="0"/>
    <s v="Name 725"/>
    <x v="1"/>
    <s v="Scanner"/>
    <n v="1500"/>
    <n v="5"/>
    <n v="7500"/>
    <n v="750"/>
  </r>
  <r>
    <n v="841"/>
    <x v="762"/>
    <x v="2"/>
    <x v="612"/>
    <x v="1"/>
    <s v="Name 726"/>
    <x v="2"/>
    <s v="Keyboard"/>
    <n v="210"/>
    <n v="6"/>
    <n v="1260"/>
    <n v="126"/>
  </r>
  <r>
    <n v="842"/>
    <x v="763"/>
    <x v="2"/>
    <x v="613"/>
    <x v="2"/>
    <s v="Name 727"/>
    <x v="3"/>
    <s v="SSD 256 GB"/>
    <n v="4000"/>
    <n v="5"/>
    <n v="20000"/>
    <n v="2000"/>
  </r>
  <r>
    <n v="843"/>
    <x v="764"/>
    <x v="2"/>
    <x v="614"/>
    <x v="1"/>
    <s v="Name 728"/>
    <x v="4"/>
    <s v="HDD 256 GB"/>
    <n v="3200"/>
    <n v="6"/>
    <n v="19200"/>
    <n v="1920"/>
  </r>
  <r>
    <n v="844"/>
    <x v="765"/>
    <x v="2"/>
    <x v="615"/>
    <x v="2"/>
    <s v="Name 729"/>
    <x v="0"/>
    <s v="Mouse"/>
    <n v="2900"/>
    <n v="2"/>
    <n v="5800"/>
    <n v="580"/>
  </r>
  <r>
    <n v="845"/>
    <x v="766"/>
    <x v="2"/>
    <x v="616"/>
    <x v="3"/>
    <s v="Name 730"/>
    <x v="1"/>
    <s v="Monitor"/>
    <n v="190"/>
    <n v="3"/>
    <n v="570"/>
    <n v="57"/>
  </r>
  <r>
    <n v="846"/>
    <x v="767"/>
    <x v="2"/>
    <x v="617"/>
    <x v="0"/>
    <s v="Name 731"/>
    <x v="2"/>
    <s v="Printer"/>
    <n v="4000"/>
    <n v="5"/>
    <n v="20000"/>
    <n v="2000"/>
  </r>
  <r>
    <n v="847"/>
    <x v="768"/>
    <x v="2"/>
    <x v="618"/>
    <x v="1"/>
    <s v="Name 732"/>
    <x v="3"/>
    <s v="Scanner"/>
    <n v="1500"/>
    <n v="3"/>
    <n v="4500"/>
    <n v="450"/>
  </r>
  <r>
    <n v="848"/>
    <x v="769"/>
    <x v="2"/>
    <x v="619"/>
    <x v="2"/>
    <s v="Name 733"/>
    <x v="4"/>
    <s v="Keyboard"/>
    <n v="210"/>
    <n v="1"/>
    <n v="210"/>
    <n v="21"/>
  </r>
  <r>
    <n v="849"/>
    <x v="770"/>
    <x v="2"/>
    <x v="620"/>
    <x v="1"/>
    <s v="Name 734"/>
    <x v="0"/>
    <s v="SSD 256 GB"/>
    <n v="4000"/>
    <n v="2"/>
    <n v="8000"/>
    <n v="800"/>
  </r>
  <r>
    <n v="850"/>
    <x v="771"/>
    <x v="2"/>
    <x v="621"/>
    <x v="2"/>
    <s v="Name 735"/>
    <x v="1"/>
    <s v="HDD 256 GB"/>
    <n v="3200"/>
    <n v="3"/>
    <n v="9600"/>
    <n v="960"/>
  </r>
  <r>
    <n v="851"/>
    <x v="772"/>
    <x v="2"/>
    <x v="622"/>
    <x v="3"/>
    <s v="Name 736"/>
    <x v="2"/>
    <s v="Keyboard"/>
    <n v="2900"/>
    <n v="5"/>
    <n v="14500"/>
    <n v="1450"/>
  </r>
  <r>
    <n v="852"/>
    <x v="773"/>
    <x v="2"/>
    <x v="623"/>
    <x v="0"/>
    <s v="Name 737"/>
    <x v="3"/>
    <s v="SSD 256 GB"/>
    <n v="190"/>
    <n v="6"/>
    <n v="1140"/>
    <n v="114"/>
  </r>
  <r>
    <n v="853"/>
    <x v="774"/>
    <x v="2"/>
    <x v="624"/>
    <x v="1"/>
    <s v="Name 738"/>
    <x v="4"/>
    <s v="HDD 256 GB"/>
    <n v="4000"/>
    <n v="2"/>
    <n v="8000"/>
    <n v="800"/>
  </r>
  <r>
    <n v="854"/>
    <x v="775"/>
    <x v="2"/>
    <x v="625"/>
    <x v="2"/>
    <s v="Name 739"/>
    <x v="0"/>
    <s v="Keyboard"/>
    <n v="1500"/>
    <n v="3"/>
    <n v="4500"/>
    <n v="450"/>
  </r>
  <r>
    <n v="855"/>
    <x v="776"/>
    <x v="2"/>
    <x v="626"/>
    <x v="1"/>
    <s v="Name 740"/>
    <x v="1"/>
    <s v="SSD 256 GB"/>
    <n v="210"/>
    <n v="5"/>
    <n v="1050"/>
    <n v="105"/>
  </r>
  <r>
    <n v="856"/>
    <x v="777"/>
    <x v="2"/>
    <x v="627"/>
    <x v="2"/>
    <s v="Name 741"/>
    <x v="2"/>
    <s v="HDD 256 GB"/>
    <n v="4000"/>
    <n v="3"/>
    <n v="12000"/>
    <n v="1200"/>
  </r>
  <r>
    <n v="857"/>
    <x v="778"/>
    <x v="2"/>
    <x v="605"/>
    <x v="3"/>
    <s v="Name 719"/>
    <x v="3"/>
    <s v="Keyboard"/>
    <n v="3200"/>
    <n v="1"/>
    <n v="3200"/>
    <n v="320"/>
  </r>
  <r>
    <n v="858"/>
    <x v="779"/>
    <x v="2"/>
    <x v="606"/>
    <x v="0"/>
    <s v="Name 720"/>
    <x v="4"/>
    <s v="SSD 256 GB"/>
    <n v="2900"/>
    <n v="10"/>
    <n v="29000"/>
    <n v="2900"/>
  </r>
  <r>
    <n v="859"/>
    <x v="780"/>
    <x v="2"/>
    <x v="607"/>
    <x v="1"/>
    <s v="Name 721"/>
    <x v="0"/>
    <s v="HDD 256 GB"/>
    <n v="190"/>
    <n v="3"/>
    <n v="570"/>
    <n v="57"/>
  </r>
  <r>
    <n v="860"/>
    <x v="781"/>
    <x v="2"/>
    <x v="608"/>
    <x v="2"/>
    <s v="Name 722"/>
    <x v="1"/>
    <s v="Mouse"/>
    <n v="4000"/>
    <n v="4"/>
    <n v="16000"/>
    <n v="1600"/>
  </r>
  <r>
    <n v="861"/>
    <x v="782"/>
    <x v="2"/>
    <x v="609"/>
    <x v="1"/>
    <s v="Name 723"/>
    <x v="2"/>
    <s v="Monitor"/>
    <n v="1500"/>
    <n v="5"/>
    <n v="7500"/>
    <n v="750"/>
  </r>
  <r>
    <n v="862"/>
    <x v="783"/>
    <x v="2"/>
    <x v="610"/>
    <x v="2"/>
    <s v="Name 724"/>
    <x v="3"/>
    <s v="Printer"/>
    <n v="210"/>
    <n v="6"/>
    <n v="1260"/>
    <n v="126"/>
  </r>
  <r>
    <n v="863"/>
    <x v="784"/>
    <x v="2"/>
    <x v="611"/>
    <x v="3"/>
    <s v="Name 725"/>
    <x v="4"/>
    <s v="Scanner"/>
    <n v="4000"/>
    <n v="5"/>
    <n v="20000"/>
    <n v="2000"/>
  </r>
  <r>
    <n v="864"/>
    <x v="785"/>
    <x v="2"/>
    <x v="612"/>
    <x v="0"/>
    <s v="Name 726"/>
    <x v="0"/>
    <s v="Keyboard"/>
    <n v="3200"/>
    <n v="6"/>
    <n v="19200"/>
    <n v="1920"/>
  </r>
  <r>
    <n v="865"/>
    <x v="786"/>
    <x v="2"/>
    <x v="613"/>
    <x v="1"/>
    <s v="Name 727"/>
    <x v="1"/>
    <s v="SSD 256 GB"/>
    <n v="2900"/>
    <n v="1"/>
    <n v="2900"/>
    <n v="290"/>
  </r>
  <r>
    <n v="866"/>
    <x v="787"/>
    <x v="2"/>
    <x v="614"/>
    <x v="2"/>
    <s v="Name 728"/>
    <x v="2"/>
    <s v="HDD 256 GB"/>
    <n v="190"/>
    <n v="1"/>
    <n v="190"/>
    <n v="19"/>
  </r>
  <r>
    <n v="867"/>
    <x v="788"/>
    <x v="2"/>
    <x v="615"/>
    <x v="1"/>
    <s v="Name 729"/>
    <x v="3"/>
    <s v="Mouse"/>
    <n v="4000"/>
    <n v="1"/>
    <n v="4000"/>
    <n v="400"/>
  </r>
  <r>
    <n v="868"/>
    <x v="789"/>
    <x v="2"/>
    <x v="616"/>
    <x v="2"/>
    <s v="Name 730"/>
    <x v="4"/>
    <s v="Monitor"/>
    <n v="1500"/>
    <n v="1"/>
    <n v="1500"/>
    <n v="150"/>
  </r>
  <r>
    <n v="869"/>
    <x v="790"/>
    <x v="2"/>
    <x v="617"/>
    <x v="3"/>
    <s v="Name 731"/>
    <x v="0"/>
    <s v="Printer"/>
    <n v="210"/>
    <n v="1"/>
    <n v="210"/>
    <n v="21"/>
  </r>
  <r>
    <n v="870"/>
    <x v="791"/>
    <x v="2"/>
    <x v="618"/>
    <x v="0"/>
    <s v="Name 732"/>
    <x v="1"/>
    <s v="Scanner"/>
    <n v="4000"/>
    <n v="1"/>
    <n v="4000"/>
    <n v="400"/>
  </r>
  <r>
    <n v="871"/>
    <x v="792"/>
    <x v="2"/>
    <x v="619"/>
    <x v="1"/>
    <s v="Name 733"/>
    <x v="2"/>
    <s v="Keyboard"/>
    <n v="3200"/>
    <n v="1"/>
    <n v="3200"/>
    <n v="320"/>
  </r>
  <r>
    <n v="872"/>
    <x v="793"/>
    <x v="2"/>
    <x v="620"/>
    <x v="2"/>
    <s v="Name 734"/>
    <x v="3"/>
    <s v="SSD 256 GB"/>
    <n v="2900"/>
    <n v="1"/>
    <n v="2900"/>
    <n v="290"/>
  </r>
  <r>
    <n v="873"/>
    <x v="794"/>
    <x v="2"/>
    <x v="621"/>
    <x v="1"/>
    <s v="Name 735"/>
    <x v="4"/>
    <s v="HDD 256 GB"/>
    <n v="190"/>
    <n v="1"/>
    <n v="190"/>
    <n v="19"/>
  </r>
  <r>
    <n v="874"/>
    <x v="795"/>
    <x v="2"/>
    <x v="622"/>
    <x v="2"/>
    <s v="Name 736"/>
    <x v="0"/>
    <s v="Keyboard"/>
    <n v="4000"/>
    <n v="1"/>
    <n v="4000"/>
    <n v="400"/>
  </r>
  <r>
    <n v="875"/>
    <x v="796"/>
    <x v="2"/>
    <x v="623"/>
    <x v="3"/>
    <s v="Name 737"/>
    <x v="1"/>
    <s v="SSD 256 GB"/>
    <n v="1500"/>
    <n v="1"/>
    <n v="1500"/>
    <n v="150"/>
  </r>
  <r>
    <n v="876"/>
    <x v="797"/>
    <x v="2"/>
    <x v="624"/>
    <x v="0"/>
    <s v="Name 738"/>
    <x v="2"/>
    <s v="HDD 256 GB"/>
    <n v="210"/>
    <n v="1"/>
    <n v="210"/>
    <n v="21"/>
  </r>
  <r>
    <n v="877"/>
    <x v="798"/>
    <x v="2"/>
    <x v="625"/>
    <x v="1"/>
    <s v="Name 739"/>
    <x v="3"/>
    <s v="Keyboard"/>
    <n v="4000"/>
    <n v="1"/>
    <n v="4000"/>
    <n v="400"/>
  </r>
  <r>
    <n v="878"/>
    <x v="799"/>
    <x v="2"/>
    <x v="626"/>
    <x v="2"/>
    <s v="Name 740"/>
    <x v="4"/>
    <s v="SSD 256 GB"/>
    <n v="3200"/>
    <n v="1"/>
    <n v="3200"/>
    <n v="320"/>
  </r>
  <r>
    <n v="879"/>
    <x v="800"/>
    <x v="2"/>
    <x v="627"/>
    <x v="1"/>
    <s v="Name 741"/>
    <x v="0"/>
    <s v="HDD 256 GB"/>
    <n v="2900"/>
    <n v="1"/>
    <n v="2900"/>
    <n v="290"/>
  </r>
  <r>
    <n v="880"/>
    <x v="801"/>
    <x v="2"/>
    <x v="605"/>
    <x v="2"/>
    <s v="Name 719"/>
    <x v="1"/>
    <s v="Keyboard"/>
    <n v="190"/>
    <n v="1"/>
    <n v="190"/>
    <n v="19"/>
  </r>
  <r>
    <n v="881"/>
    <x v="802"/>
    <x v="2"/>
    <x v="606"/>
    <x v="3"/>
    <s v="Name 720"/>
    <x v="2"/>
    <s v="SSD 256 GB"/>
    <n v="4000"/>
    <n v="1"/>
    <n v="4000"/>
    <n v="400"/>
  </r>
  <r>
    <n v="882"/>
    <x v="803"/>
    <x v="2"/>
    <x v="607"/>
    <x v="0"/>
    <s v="Name 721"/>
    <x v="3"/>
    <s v="HDD 256 GB"/>
    <n v="1500"/>
    <n v="1"/>
    <n v="1500"/>
    <n v="150"/>
  </r>
  <r>
    <n v="883"/>
    <x v="804"/>
    <x v="2"/>
    <x v="608"/>
    <x v="1"/>
    <s v="Name 722"/>
    <x v="4"/>
    <s v="Mouse"/>
    <n v="210"/>
    <n v="1"/>
    <n v="210"/>
    <n v="21"/>
  </r>
  <r>
    <n v="884"/>
    <x v="805"/>
    <x v="2"/>
    <x v="609"/>
    <x v="2"/>
    <s v="Name 723"/>
    <x v="0"/>
    <s v="Monitor"/>
    <n v="4000"/>
    <n v="1"/>
    <n v="4000"/>
    <n v="400"/>
  </r>
  <r>
    <n v="885"/>
    <x v="806"/>
    <x v="2"/>
    <x v="610"/>
    <x v="1"/>
    <s v="Name 724"/>
    <x v="1"/>
    <s v="Printer"/>
    <n v="3200"/>
    <n v="1"/>
    <n v="3200"/>
    <n v="320"/>
  </r>
  <r>
    <n v="886"/>
    <x v="807"/>
    <x v="2"/>
    <x v="611"/>
    <x v="2"/>
    <s v="Name 725"/>
    <x v="2"/>
    <s v="Scanner"/>
    <n v="2900"/>
    <n v="1"/>
    <n v="2900"/>
    <n v="290"/>
  </r>
  <r>
    <n v="887"/>
    <x v="808"/>
    <x v="2"/>
    <x v="612"/>
    <x v="3"/>
    <s v="Name 726"/>
    <x v="3"/>
    <s v="Keyboard"/>
    <n v="190"/>
    <n v="1"/>
    <n v="190"/>
    <n v="19"/>
  </r>
  <r>
    <n v="888"/>
    <x v="809"/>
    <x v="2"/>
    <x v="613"/>
    <x v="0"/>
    <s v="Name 727"/>
    <x v="4"/>
    <s v="SSD 256 GB"/>
    <n v="4000"/>
    <n v="1"/>
    <n v="4000"/>
    <n v="400"/>
  </r>
  <r>
    <n v="889"/>
    <x v="810"/>
    <x v="2"/>
    <x v="614"/>
    <x v="1"/>
    <s v="Name 728"/>
    <x v="0"/>
    <s v="HDD 256 GB"/>
    <n v="1500"/>
    <n v="1"/>
    <n v="1500"/>
    <n v="150"/>
  </r>
  <r>
    <n v="890"/>
    <x v="811"/>
    <x v="2"/>
    <x v="615"/>
    <x v="2"/>
    <s v="Name 729"/>
    <x v="1"/>
    <s v="Mouse"/>
    <n v="210"/>
    <n v="1"/>
    <n v="210"/>
    <n v="21"/>
  </r>
  <r>
    <n v="891"/>
    <x v="812"/>
    <x v="2"/>
    <x v="616"/>
    <x v="1"/>
    <s v="Name 730"/>
    <x v="2"/>
    <s v="Monitor"/>
    <n v="4000"/>
    <n v="1"/>
    <n v="4000"/>
    <n v="400"/>
  </r>
  <r>
    <n v="892"/>
    <x v="813"/>
    <x v="2"/>
    <x v="617"/>
    <x v="2"/>
    <s v="Name 731"/>
    <x v="3"/>
    <s v="Printer"/>
    <n v="3200"/>
    <n v="1"/>
    <n v="3200"/>
    <n v="320"/>
  </r>
  <r>
    <n v="893"/>
    <x v="814"/>
    <x v="2"/>
    <x v="618"/>
    <x v="3"/>
    <s v="Name 732"/>
    <x v="4"/>
    <s v="Scanner"/>
    <n v="2900"/>
    <n v="1"/>
    <n v="2900"/>
    <n v="290"/>
  </r>
  <r>
    <n v="894"/>
    <x v="815"/>
    <x v="2"/>
    <x v="619"/>
    <x v="0"/>
    <s v="Name 733"/>
    <x v="0"/>
    <s v="Keyboard"/>
    <n v="190"/>
    <n v="1"/>
    <n v="190"/>
    <n v="19"/>
  </r>
  <r>
    <n v="895"/>
    <x v="816"/>
    <x v="2"/>
    <x v="620"/>
    <x v="1"/>
    <s v="Name 734"/>
    <x v="1"/>
    <s v="SSD 256 GB"/>
    <n v="4000"/>
    <n v="1"/>
    <n v="4000"/>
    <n v="400"/>
  </r>
  <r>
    <n v="896"/>
    <x v="817"/>
    <x v="2"/>
    <x v="621"/>
    <x v="2"/>
    <s v="Name 735"/>
    <x v="2"/>
    <s v="HDD 256 GB"/>
    <n v="1500"/>
    <n v="1"/>
    <n v="1500"/>
    <n v="150"/>
  </r>
  <r>
    <n v="897"/>
    <x v="818"/>
    <x v="2"/>
    <x v="622"/>
    <x v="1"/>
    <s v="Name 736"/>
    <x v="3"/>
    <s v="Keyboard"/>
    <n v="210"/>
    <n v="7"/>
    <n v="1470"/>
    <n v="147"/>
  </r>
  <r>
    <n v="898"/>
    <x v="819"/>
    <x v="2"/>
    <x v="623"/>
    <x v="2"/>
    <s v="Name 737"/>
    <x v="4"/>
    <s v="SSD 256 GB"/>
    <n v="4000"/>
    <n v="7"/>
    <n v="28000"/>
    <n v="2800"/>
  </r>
  <r>
    <n v="899"/>
    <x v="820"/>
    <x v="2"/>
    <x v="624"/>
    <x v="3"/>
    <s v="Name 738"/>
    <x v="0"/>
    <s v="HDD 256 GB"/>
    <n v="3200"/>
    <n v="7"/>
    <n v="22400"/>
    <n v="2240"/>
  </r>
  <r>
    <n v="900"/>
    <x v="821"/>
    <x v="2"/>
    <x v="625"/>
    <x v="0"/>
    <s v="Name 739"/>
    <x v="1"/>
    <s v="Keyboard"/>
    <n v="2900"/>
    <n v="5"/>
    <n v="14500"/>
    <n v="1450"/>
  </r>
  <r>
    <n v="901"/>
    <x v="822"/>
    <x v="2"/>
    <x v="626"/>
    <x v="1"/>
    <s v="Name 740"/>
    <x v="2"/>
    <s v="SSD 256 GB"/>
    <n v="190"/>
    <n v="6"/>
    <n v="1140"/>
    <n v="114"/>
  </r>
  <r>
    <n v="902"/>
    <x v="823"/>
    <x v="2"/>
    <x v="627"/>
    <x v="2"/>
    <s v="Name 741"/>
    <x v="3"/>
    <s v="HDD 256 GB"/>
    <n v="4000"/>
    <n v="2"/>
    <n v="8000"/>
    <n v="800"/>
  </r>
  <r>
    <n v="903"/>
    <x v="824"/>
    <x v="2"/>
    <x v="605"/>
    <x v="1"/>
    <s v="Name 719"/>
    <x v="4"/>
    <s v="Keyboard"/>
    <n v="1500"/>
    <n v="3"/>
    <n v="4500"/>
    <n v="450"/>
  </r>
  <r>
    <n v="904"/>
    <x v="825"/>
    <x v="2"/>
    <x v="606"/>
    <x v="2"/>
    <s v="Name 720"/>
    <x v="0"/>
    <s v="SSD 256 GB"/>
    <n v="210"/>
    <n v="5"/>
    <n v="1050"/>
    <n v="105"/>
  </r>
  <r>
    <n v="905"/>
    <x v="826"/>
    <x v="2"/>
    <x v="607"/>
    <x v="3"/>
    <s v="Name 721"/>
    <x v="1"/>
    <s v="HDD 256 GB"/>
    <n v="4000"/>
    <n v="3"/>
    <n v="12000"/>
    <n v="1200"/>
  </r>
  <r>
    <n v="906"/>
    <x v="827"/>
    <x v="2"/>
    <x v="608"/>
    <x v="0"/>
    <s v="Name 722"/>
    <x v="2"/>
    <s v="Mouse"/>
    <n v="3200"/>
    <n v="1"/>
    <n v="3200"/>
    <n v="320"/>
  </r>
  <r>
    <n v="907"/>
    <x v="828"/>
    <x v="2"/>
    <x v="609"/>
    <x v="1"/>
    <s v="Name 723"/>
    <x v="3"/>
    <s v="Monitor"/>
    <n v="2900"/>
    <n v="9"/>
    <n v="26100"/>
    <n v="2610"/>
  </r>
  <r>
    <n v="908"/>
    <x v="829"/>
    <x v="2"/>
    <x v="610"/>
    <x v="2"/>
    <s v="Name 724"/>
    <x v="4"/>
    <s v="Printer"/>
    <n v="190"/>
    <n v="9"/>
    <n v="1710"/>
    <n v="171"/>
  </r>
  <r>
    <n v="909"/>
    <x v="830"/>
    <x v="2"/>
    <x v="611"/>
    <x v="1"/>
    <s v="Name 725"/>
    <x v="0"/>
    <s v="Scanner"/>
    <n v="4000"/>
    <n v="5"/>
    <n v="20000"/>
    <n v="2000"/>
  </r>
  <r>
    <n v="910"/>
    <x v="831"/>
    <x v="2"/>
    <x v="612"/>
    <x v="2"/>
    <s v="Name 726"/>
    <x v="1"/>
    <s v="Keyboard"/>
    <n v="1500"/>
    <n v="9"/>
    <n v="13500"/>
    <n v="1350"/>
  </r>
  <r>
    <n v="911"/>
    <x v="832"/>
    <x v="2"/>
    <x v="613"/>
    <x v="3"/>
    <s v="Name 727"/>
    <x v="2"/>
    <s v="SSD 256 GB"/>
    <n v="210"/>
    <n v="9"/>
    <n v="1890"/>
    <n v="189"/>
  </r>
  <r>
    <n v="912"/>
    <x v="833"/>
    <x v="2"/>
    <x v="614"/>
    <x v="0"/>
    <s v="Name 728"/>
    <x v="3"/>
    <s v="HDD 256 GB"/>
    <n v="4000"/>
    <n v="9"/>
    <n v="36000"/>
    <n v="3600"/>
  </r>
  <r>
    <n v="913"/>
    <x v="834"/>
    <x v="2"/>
    <x v="615"/>
    <x v="1"/>
    <s v="Name 729"/>
    <x v="4"/>
    <s v="Mouse"/>
    <n v="3200"/>
    <n v="9"/>
    <n v="28800"/>
    <n v="2880"/>
  </r>
  <r>
    <n v="914"/>
    <x v="835"/>
    <x v="2"/>
    <x v="616"/>
    <x v="2"/>
    <s v="Name 730"/>
    <x v="0"/>
    <s v="Monitor"/>
    <n v="2900"/>
    <n v="9"/>
    <n v="26100"/>
    <n v="2610"/>
  </r>
  <r>
    <n v="915"/>
    <x v="836"/>
    <x v="2"/>
    <x v="617"/>
    <x v="1"/>
    <s v="Name 731"/>
    <x v="1"/>
    <s v="Printer"/>
    <n v="190"/>
    <n v="9"/>
    <n v="1710"/>
    <n v="171"/>
  </r>
  <r>
    <n v="916"/>
    <x v="837"/>
    <x v="2"/>
    <x v="618"/>
    <x v="2"/>
    <s v="Name 732"/>
    <x v="2"/>
    <s v="Scanner"/>
    <n v="4000"/>
    <n v="9"/>
    <n v="36000"/>
    <n v="3600"/>
  </r>
  <r>
    <n v="917"/>
    <x v="838"/>
    <x v="2"/>
    <x v="619"/>
    <x v="3"/>
    <s v="Name 733"/>
    <x v="3"/>
    <s v="Keyboard"/>
    <n v="1500"/>
    <n v="9"/>
    <n v="13500"/>
    <n v="1350"/>
  </r>
  <r>
    <n v="918"/>
    <x v="839"/>
    <x v="2"/>
    <x v="620"/>
    <x v="0"/>
    <s v="Name 734"/>
    <x v="4"/>
    <s v="SSD 256 GB"/>
    <n v="210"/>
    <n v="9"/>
    <n v="1890"/>
    <n v="189"/>
  </r>
  <r>
    <n v="919"/>
    <x v="840"/>
    <x v="2"/>
    <x v="621"/>
    <x v="1"/>
    <s v="Name 735"/>
    <x v="0"/>
    <s v="HDD 256 GB"/>
    <n v="4000"/>
    <n v="9"/>
    <n v="36000"/>
    <n v="3600"/>
  </r>
  <r>
    <n v="920"/>
    <x v="841"/>
    <x v="2"/>
    <x v="622"/>
    <x v="2"/>
    <s v="Name 736"/>
    <x v="1"/>
    <s v="Keyboard"/>
    <n v="3200"/>
    <n v="9"/>
    <n v="28800"/>
    <n v="2880"/>
  </r>
  <r>
    <n v="921"/>
    <x v="842"/>
    <x v="2"/>
    <x v="623"/>
    <x v="1"/>
    <s v="Name 737"/>
    <x v="2"/>
    <s v="SSD 256 GB"/>
    <n v="2900"/>
    <n v="9"/>
    <n v="26100"/>
    <n v="2610"/>
  </r>
  <r>
    <n v="922"/>
    <x v="843"/>
    <x v="2"/>
    <x v="624"/>
    <x v="2"/>
    <s v="Name 738"/>
    <x v="3"/>
    <s v="HDD 256 GB"/>
    <n v="190"/>
    <n v="9"/>
    <n v="1710"/>
    <n v="171"/>
  </r>
  <r>
    <n v="923"/>
    <x v="844"/>
    <x v="2"/>
    <x v="625"/>
    <x v="3"/>
    <s v="Name 739"/>
    <x v="4"/>
    <s v="Keyboard"/>
    <n v="4000"/>
    <n v="8"/>
    <n v="32000"/>
    <n v="3200"/>
  </r>
  <r>
    <n v="924"/>
    <x v="845"/>
    <x v="2"/>
    <x v="626"/>
    <x v="0"/>
    <s v="Name 740"/>
    <x v="0"/>
    <s v="SSD 256 GB"/>
    <n v="1500"/>
    <n v="9"/>
    <n v="13500"/>
    <n v="1350"/>
  </r>
  <r>
    <n v="925"/>
    <x v="846"/>
    <x v="2"/>
    <x v="627"/>
    <x v="1"/>
    <s v="Name 741"/>
    <x v="1"/>
    <s v="HDD 256 GB"/>
    <n v="210"/>
    <n v="9"/>
    <n v="1890"/>
    <n v="189"/>
  </r>
  <r>
    <n v="926"/>
    <x v="847"/>
    <x v="2"/>
    <x v="605"/>
    <x v="2"/>
    <s v="Name 719"/>
    <x v="2"/>
    <s v="Keyboard"/>
    <n v="4000"/>
    <n v="5"/>
    <n v="20000"/>
    <n v="2000"/>
  </r>
  <r>
    <n v="927"/>
    <x v="848"/>
    <x v="2"/>
    <x v="606"/>
    <x v="1"/>
    <s v="Name 720"/>
    <x v="3"/>
    <s v="SSD 256 GB"/>
    <n v="3200"/>
    <n v="6"/>
    <n v="19200"/>
    <n v="1920"/>
  </r>
  <r>
    <n v="928"/>
    <x v="849"/>
    <x v="2"/>
    <x v="607"/>
    <x v="2"/>
    <s v="Name 721"/>
    <x v="4"/>
    <s v="HDD 256 GB"/>
    <n v="2900"/>
    <n v="7"/>
    <n v="20300"/>
    <n v="2030"/>
  </r>
  <r>
    <n v="929"/>
    <x v="850"/>
    <x v="2"/>
    <x v="608"/>
    <x v="3"/>
    <s v="Name 722"/>
    <x v="0"/>
    <s v="Mouse"/>
    <n v="190"/>
    <n v="8"/>
    <n v="1520"/>
    <n v="152"/>
  </r>
  <r>
    <n v="930"/>
    <x v="851"/>
    <x v="2"/>
    <x v="609"/>
    <x v="0"/>
    <s v="Name 723"/>
    <x v="1"/>
    <s v="Monitor"/>
    <n v="4000"/>
    <n v="8"/>
    <n v="32000"/>
    <n v="3200"/>
  </r>
  <r>
    <n v="931"/>
    <x v="852"/>
    <x v="2"/>
    <x v="610"/>
    <x v="1"/>
    <s v="Name 724"/>
    <x v="2"/>
    <s v="Printer"/>
    <n v="1500"/>
    <n v="8"/>
    <n v="12000"/>
    <n v="1200"/>
  </r>
  <r>
    <n v="932"/>
    <x v="853"/>
    <x v="2"/>
    <x v="611"/>
    <x v="2"/>
    <s v="Name 725"/>
    <x v="3"/>
    <s v="Scanner"/>
    <n v="210"/>
    <n v="8"/>
    <n v="1680"/>
    <n v="168"/>
  </r>
  <r>
    <n v="933"/>
    <x v="854"/>
    <x v="2"/>
    <x v="612"/>
    <x v="1"/>
    <s v="Name 726"/>
    <x v="4"/>
    <s v="Keyboard"/>
    <n v="4000"/>
    <n v="8"/>
    <n v="32000"/>
    <n v="3200"/>
  </r>
  <r>
    <n v="934"/>
    <x v="855"/>
    <x v="2"/>
    <x v="613"/>
    <x v="2"/>
    <s v="Name 727"/>
    <x v="0"/>
    <s v="SSD 256 GB"/>
    <n v="3200"/>
    <n v="8"/>
    <n v="25600"/>
    <n v="2560"/>
  </r>
  <r>
    <n v="935"/>
    <x v="856"/>
    <x v="2"/>
    <x v="614"/>
    <x v="3"/>
    <s v="Name 728"/>
    <x v="1"/>
    <s v="HDD 256 GB"/>
    <n v="2900"/>
    <n v="8"/>
    <n v="23200"/>
    <n v="2320"/>
  </r>
  <r>
    <n v="936"/>
    <x v="857"/>
    <x v="2"/>
    <x v="615"/>
    <x v="0"/>
    <s v="Name 729"/>
    <x v="2"/>
    <s v="Mouse"/>
    <n v="190"/>
    <n v="8"/>
    <n v="1520"/>
    <n v="152"/>
  </r>
  <r>
    <n v="937"/>
    <x v="858"/>
    <x v="2"/>
    <x v="616"/>
    <x v="1"/>
    <s v="Name 730"/>
    <x v="3"/>
    <s v="Monitor"/>
    <n v="4000"/>
    <n v="8"/>
    <n v="32000"/>
    <n v="3200"/>
  </r>
  <r>
    <n v="938"/>
    <x v="859"/>
    <x v="2"/>
    <x v="617"/>
    <x v="2"/>
    <s v="Name 731"/>
    <x v="4"/>
    <s v="Printer"/>
    <n v="1500"/>
    <n v="8"/>
    <n v="12000"/>
    <n v="1200"/>
  </r>
  <r>
    <n v="939"/>
    <x v="860"/>
    <x v="2"/>
    <x v="618"/>
    <x v="1"/>
    <s v="Name 732"/>
    <x v="0"/>
    <s v="Scanner"/>
    <n v="210"/>
    <n v="8"/>
    <n v="1680"/>
    <n v="168"/>
  </r>
  <r>
    <n v="940"/>
    <x v="861"/>
    <x v="2"/>
    <x v="619"/>
    <x v="2"/>
    <s v="Name 733"/>
    <x v="1"/>
    <s v="Keyboard"/>
    <n v="4000"/>
    <n v="8"/>
    <n v="32000"/>
    <n v="3200"/>
  </r>
  <r>
    <n v="941"/>
    <x v="862"/>
    <x v="2"/>
    <x v="620"/>
    <x v="3"/>
    <s v="Name 734"/>
    <x v="2"/>
    <s v="SSD 256 GB"/>
    <n v="3200"/>
    <n v="8"/>
    <n v="25600"/>
    <n v="2560"/>
  </r>
  <r>
    <n v="942"/>
    <x v="863"/>
    <x v="2"/>
    <x v="621"/>
    <x v="0"/>
    <s v="Name 735"/>
    <x v="3"/>
    <s v="HDD 256 GB"/>
    <n v="2900"/>
    <n v="5"/>
    <n v="14500"/>
    <n v="1450"/>
  </r>
  <r>
    <n v="943"/>
    <x v="864"/>
    <x v="2"/>
    <x v="622"/>
    <x v="1"/>
    <s v="Name 736"/>
    <x v="4"/>
    <s v="Keyboard"/>
    <n v="190"/>
    <n v="3"/>
    <n v="570"/>
    <n v="57"/>
  </r>
  <r>
    <n v="944"/>
    <x v="865"/>
    <x v="2"/>
    <x v="623"/>
    <x v="2"/>
    <s v="Name 737"/>
    <x v="0"/>
    <s v="SSD 256 GB"/>
    <n v="4000"/>
    <n v="1"/>
    <n v="4000"/>
    <n v="400"/>
  </r>
  <r>
    <n v="945"/>
    <x v="866"/>
    <x v="2"/>
    <x v="624"/>
    <x v="1"/>
    <s v="Name 738"/>
    <x v="1"/>
    <s v="HDD 256 GB"/>
    <n v="1500"/>
    <n v="9"/>
    <n v="13500"/>
    <n v="1350"/>
  </r>
  <r>
    <n v="946"/>
    <x v="867"/>
    <x v="2"/>
    <x v="625"/>
    <x v="2"/>
    <s v="Name 739"/>
    <x v="2"/>
    <s v="Keyboard"/>
    <n v="210"/>
    <n v="9"/>
    <n v="1890"/>
    <n v="189"/>
  </r>
  <r>
    <n v="947"/>
    <x v="868"/>
    <x v="2"/>
    <x v="626"/>
    <x v="3"/>
    <s v="Name 740"/>
    <x v="3"/>
    <s v="SSD 256 GB"/>
    <n v="4000"/>
    <n v="5"/>
    <n v="20000"/>
    <n v="2000"/>
  </r>
  <r>
    <n v="948"/>
    <x v="869"/>
    <x v="2"/>
    <x v="627"/>
    <x v="0"/>
    <s v="Name 741"/>
    <x v="4"/>
    <s v="HDD 256 GB"/>
    <n v="3200"/>
    <n v="9"/>
    <n v="28800"/>
    <n v="2880"/>
  </r>
  <r>
    <n v="949"/>
    <x v="870"/>
    <x v="2"/>
    <x v="605"/>
    <x v="1"/>
    <s v="Name 719"/>
    <x v="0"/>
    <s v="Keyboard"/>
    <n v="2900"/>
    <n v="9"/>
    <n v="26100"/>
    <n v="2610"/>
  </r>
  <r>
    <n v="950"/>
    <x v="871"/>
    <x v="2"/>
    <x v="606"/>
    <x v="2"/>
    <s v="Name 720"/>
    <x v="1"/>
    <s v="SSD 256 GB"/>
    <n v="190"/>
    <n v="9"/>
    <n v="1710"/>
    <n v="171"/>
  </r>
  <r>
    <n v="951"/>
    <x v="872"/>
    <x v="2"/>
    <x v="607"/>
    <x v="1"/>
    <s v="Name 721"/>
    <x v="2"/>
    <s v="HDD 256 GB"/>
    <n v="4000"/>
    <n v="9"/>
    <n v="36000"/>
    <n v="3600"/>
  </r>
  <r>
    <n v="952"/>
    <x v="873"/>
    <x v="2"/>
    <x v="608"/>
    <x v="2"/>
    <s v="Name 722"/>
    <x v="3"/>
    <s v="Mouse"/>
    <n v="1500"/>
    <n v="9"/>
    <n v="13500"/>
    <n v="1350"/>
  </r>
  <r>
    <n v="953"/>
    <x v="874"/>
    <x v="2"/>
    <x v="609"/>
    <x v="3"/>
    <s v="Name 723"/>
    <x v="4"/>
    <s v="Monitor"/>
    <n v="210"/>
    <n v="9"/>
    <n v="1890"/>
    <n v="189"/>
  </r>
  <r>
    <n v="954"/>
    <x v="875"/>
    <x v="2"/>
    <x v="610"/>
    <x v="0"/>
    <s v="Name 724"/>
    <x v="0"/>
    <s v="Printer"/>
    <n v="4000"/>
    <n v="9"/>
    <n v="36000"/>
    <n v="3600"/>
  </r>
  <r>
    <n v="955"/>
    <x v="876"/>
    <x v="2"/>
    <x v="611"/>
    <x v="1"/>
    <s v="Name 725"/>
    <x v="1"/>
    <s v="Scanner"/>
    <n v="3200"/>
    <n v="9"/>
    <n v="28800"/>
    <n v="2880"/>
  </r>
  <r>
    <n v="956"/>
    <x v="877"/>
    <x v="2"/>
    <x v="612"/>
    <x v="2"/>
    <s v="Name 726"/>
    <x v="2"/>
    <s v="Keyboard"/>
    <n v="2900"/>
    <n v="9"/>
    <n v="26100"/>
    <n v="2610"/>
  </r>
  <r>
    <n v="957"/>
    <x v="878"/>
    <x v="2"/>
    <x v="613"/>
    <x v="1"/>
    <s v="Name 727"/>
    <x v="3"/>
    <s v="SSD 256 GB"/>
    <n v="190"/>
    <n v="9"/>
    <n v="1710"/>
    <n v="171"/>
  </r>
  <r>
    <n v="958"/>
    <x v="879"/>
    <x v="2"/>
    <x v="614"/>
    <x v="2"/>
    <s v="Name 728"/>
    <x v="4"/>
    <s v="HDD 256 GB"/>
    <n v="4000"/>
    <n v="9"/>
    <n v="36000"/>
    <n v="3600"/>
  </r>
  <r>
    <n v="959"/>
    <x v="880"/>
    <x v="2"/>
    <x v="615"/>
    <x v="3"/>
    <s v="Name 729"/>
    <x v="0"/>
    <s v="Mouse"/>
    <n v="1500"/>
    <n v="3"/>
    <n v="4500"/>
    <n v="450"/>
  </r>
  <r>
    <n v="960"/>
    <x v="881"/>
    <x v="2"/>
    <x v="616"/>
    <x v="0"/>
    <s v="Name 730"/>
    <x v="1"/>
    <s v="Monitor"/>
    <n v="210"/>
    <n v="3"/>
    <n v="630"/>
    <n v="63"/>
  </r>
  <r>
    <n v="961"/>
    <x v="882"/>
    <x v="2"/>
    <x v="617"/>
    <x v="1"/>
    <s v="Name 731"/>
    <x v="2"/>
    <s v="Printer"/>
    <n v="4000"/>
    <n v="3"/>
    <n v="12000"/>
    <n v="1200"/>
  </r>
  <r>
    <n v="962"/>
    <x v="883"/>
    <x v="2"/>
    <x v="618"/>
    <x v="2"/>
    <s v="Name 732"/>
    <x v="3"/>
    <s v="Scanner"/>
    <n v="3200"/>
    <n v="3"/>
    <n v="9600"/>
    <n v="960"/>
  </r>
  <r>
    <n v="963"/>
    <x v="884"/>
    <x v="2"/>
    <x v="619"/>
    <x v="1"/>
    <s v="Name 733"/>
    <x v="4"/>
    <s v="Keyboard"/>
    <n v="2900"/>
    <n v="3"/>
    <n v="8700"/>
    <n v="870"/>
  </r>
  <r>
    <n v="964"/>
    <x v="885"/>
    <x v="2"/>
    <x v="620"/>
    <x v="2"/>
    <s v="Name 734"/>
    <x v="0"/>
    <s v="SSD 256 GB"/>
    <n v="190"/>
    <n v="3"/>
    <n v="570"/>
    <n v="57"/>
  </r>
  <r>
    <n v="965"/>
    <x v="886"/>
    <x v="2"/>
    <x v="621"/>
    <x v="3"/>
    <s v="Name 735"/>
    <x v="1"/>
    <s v="HDD 256 GB"/>
    <n v="4000"/>
    <n v="3"/>
    <n v="12000"/>
    <n v="1200"/>
  </r>
  <r>
    <n v="966"/>
    <x v="887"/>
    <x v="2"/>
    <x v="622"/>
    <x v="0"/>
    <s v="Name 736"/>
    <x v="2"/>
    <s v="Keyboard"/>
    <n v="1500"/>
    <n v="3"/>
    <n v="4500"/>
    <n v="450"/>
  </r>
  <r>
    <n v="967"/>
    <x v="888"/>
    <x v="2"/>
    <x v="623"/>
    <x v="1"/>
    <s v="Name 737"/>
    <x v="3"/>
    <s v="SSD 256 GB"/>
    <n v="210"/>
    <n v="3"/>
    <n v="630"/>
    <n v="63"/>
  </r>
  <r>
    <n v="968"/>
    <x v="889"/>
    <x v="2"/>
    <x v="624"/>
    <x v="2"/>
    <s v="Name 738"/>
    <x v="4"/>
    <s v="HDD 256 GB"/>
    <n v="4000"/>
    <n v="3"/>
    <n v="12000"/>
    <n v="1200"/>
  </r>
  <r>
    <n v="969"/>
    <x v="890"/>
    <x v="2"/>
    <x v="625"/>
    <x v="1"/>
    <s v="Name 739"/>
    <x v="0"/>
    <s v="Keyboard"/>
    <n v="3200"/>
    <n v="3"/>
    <n v="9600"/>
    <n v="960"/>
  </r>
  <r>
    <n v="970"/>
    <x v="891"/>
    <x v="2"/>
    <x v="626"/>
    <x v="2"/>
    <s v="Name 740"/>
    <x v="1"/>
    <s v="SSD 256 GB"/>
    <n v="2900"/>
    <n v="3"/>
    <n v="8700"/>
    <n v="870"/>
  </r>
  <r>
    <n v="971"/>
    <x v="892"/>
    <x v="2"/>
    <x v="627"/>
    <x v="3"/>
    <s v="Name 741"/>
    <x v="2"/>
    <s v="HDD 256 GB"/>
    <n v="190"/>
    <n v="3"/>
    <n v="570"/>
    <n v="57"/>
  </r>
  <r>
    <n v="972"/>
    <x v="893"/>
    <x v="2"/>
    <x v="605"/>
    <x v="0"/>
    <s v="Name 719"/>
    <x v="3"/>
    <s v="Keyboard"/>
    <n v="4000"/>
    <n v="1"/>
    <n v="4000"/>
    <n v="400"/>
  </r>
  <r>
    <n v="973"/>
    <x v="894"/>
    <x v="2"/>
    <x v="606"/>
    <x v="1"/>
    <s v="Name 720"/>
    <x v="4"/>
    <s v="SSD 256 GB"/>
    <n v="1500"/>
    <n v="1"/>
    <n v="1500"/>
    <n v="150"/>
  </r>
  <r>
    <n v="974"/>
    <x v="895"/>
    <x v="2"/>
    <x v="607"/>
    <x v="2"/>
    <s v="Name 721"/>
    <x v="0"/>
    <s v="HDD 256 GB"/>
    <n v="210"/>
    <n v="1"/>
    <n v="210"/>
    <n v="21"/>
  </r>
  <r>
    <n v="975"/>
    <x v="896"/>
    <x v="2"/>
    <x v="608"/>
    <x v="1"/>
    <s v="Name 722"/>
    <x v="1"/>
    <s v="Mouse"/>
    <n v="4000"/>
    <n v="1"/>
    <n v="4000"/>
    <n v="400"/>
  </r>
  <r>
    <n v="976"/>
    <x v="897"/>
    <x v="2"/>
    <x v="609"/>
    <x v="2"/>
    <s v="Name 723"/>
    <x v="2"/>
    <s v="Monitor"/>
    <n v="3200"/>
    <n v="1"/>
    <n v="3200"/>
    <n v="320"/>
  </r>
  <r>
    <n v="977"/>
    <x v="898"/>
    <x v="2"/>
    <x v="610"/>
    <x v="3"/>
    <s v="Name 724"/>
    <x v="3"/>
    <s v="Printer"/>
    <n v="2900"/>
    <n v="18"/>
    <n v="52200"/>
    <n v="5220"/>
  </r>
  <r>
    <n v="978"/>
    <x v="899"/>
    <x v="2"/>
    <x v="611"/>
    <x v="0"/>
    <s v="Name 725"/>
    <x v="4"/>
    <s v="Scanner"/>
    <n v="190"/>
    <n v="19"/>
    <n v="3610"/>
    <n v="361"/>
  </r>
  <r>
    <n v="979"/>
    <x v="900"/>
    <x v="2"/>
    <x v="612"/>
    <x v="1"/>
    <s v="Name 726"/>
    <x v="0"/>
    <s v="Keyboard"/>
    <n v="4000"/>
    <n v="3"/>
    <n v="12000"/>
    <n v="1200"/>
  </r>
  <r>
    <n v="980"/>
    <x v="901"/>
    <x v="2"/>
    <x v="613"/>
    <x v="2"/>
    <s v="Name 727"/>
    <x v="1"/>
    <s v="SSD 256 GB"/>
    <n v="1500"/>
    <n v="5"/>
    <n v="7500"/>
    <n v="750"/>
  </r>
  <r>
    <n v="981"/>
    <x v="902"/>
    <x v="2"/>
    <x v="614"/>
    <x v="1"/>
    <s v="Name 728"/>
    <x v="2"/>
    <s v="HDD 256 GB"/>
    <n v="210"/>
    <n v="3"/>
    <n v="630"/>
    <n v="63"/>
  </r>
  <r>
    <n v="982"/>
    <x v="903"/>
    <x v="2"/>
    <x v="615"/>
    <x v="2"/>
    <s v="Name 729"/>
    <x v="3"/>
    <s v="Mouse"/>
    <n v="4000"/>
    <n v="1"/>
    <n v="4000"/>
    <n v="400"/>
  </r>
  <r>
    <n v="983"/>
    <x v="904"/>
    <x v="2"/>
    <x v="616"/>
    <x v="3"/>
    <s v="Name 730"/>
    <x v="4"/>
    <s v="Monitor"/>
    <n v="3200"/>
    <n v="9"/>
    <n v="28800"/>
    <n v="2880"/>
  </r>
  <r>
    <n v="984"/>
    <x v="905"/>
    <x v="2"/>
    <x v="617"/>
    <x v="0"/>
    <s v="Name 731"/>
    <x v="0"/>
    <s v="Printer"/>
    <n v="2900"/>
    <n v="9"/>
    <n v="26100"/>
    <n v="2610"/>
  </r>
  <r>
    <n v="985"/>
    <x v="906"/>
    <x v="2"/>
    <x v="618"/>
    <x v="1"/>
    <s v="Name 732"/>
    <x v="1"/>
    <s v="Scanner"/>
    <n v="190"/>
    <n v="5"/>
    <n v="950"/>
    <n v="95"/>
  </r>
  <r>
    <n v="986"/>
    <x v="907"/>
    <x v="2"/>
    <x v="619"/>
    <x v="2"/>
    <s v="Name 733"/>
    <x v="2"/>
    <s v="Keyboard"/>
    <n v="4000"/>
    <n v="9"/>
    <n v="36000"/>
    <n v="3600"/>
  </r>
  <r>
    <n v="987"/>
    <x v="908"/>
    <x v="2"/>
    <x v="620"/>
    <x v="1"/>
    <s v="Name 734"/>
    <x v="3"/>
    <s v="SSD 256 GB"/>
    <n v="1500"/>
    <n v="9"/>
    <n v="13500"/>
    <n v="1350"/>
  </r>
  <r>
    <n v="988"/>
    <x v="909"/>
    <x v="2"/>
    <x v="621"/>
    <x v="2"/>
    <s v="Name 735"/>
    <x v="4"/>
    <s v="HDD 256 GB"/>
    <n v="210"/>
    <n v="9"/>
    <n v="1890"/>
    <n v="189"/>
  </r>
  <r>
    <n v="989"/>
    <x v="910"/>
    <x v="2"/>
    <x v="622"/>
    <x v="3"/>
    <s v="Name 736"/>
    <x v="0"/>
    <s v="Keyboard"/>
    <n v="4000"/>
    <n v="9"/>
    <n v="36000"/>
    <n v="3600"/>
  </r>
  <r>
    <n v="990"/>
    <x v="911"/>
    <x v="2"/>
    <x v="623"/>
    <x v="0"/>
    <s v="Name 737"/>
    <x v="1"/>
    <s v="SSD 256 GB"/>
    <n v="3200"/>
    <n v="9"/>
    <n v="28800"/>
    <n v="2880"/>
  </r>
  <r>
    <n v="991"/>
    <x v="912"/>
    <x v="2"/>
    <x v="624"/>
    <x v="1"/>
    <s v="Name 738"/>
    <x v="2"/>
    <s v="HDD 256 GB"/>
    <n v="2900"/>
    <n v="9"/>
    <n v="26100"/>
    <n v="2610"/>
  </r>
  <r>
    <n v="992"/>
    <x v="913"/>
    <x v="2"/>
    <x v="625"/>
    <x v="2"/>
    <s v="Name 739"/>
    <x v="3"/>
    <s v="Keyboard"/>
    <n v="190"/>
    <n v="4"/>
    <n v="760"/>
    <n v="76"/>
  </r>
  <r>
    <n v="993"/>
    <x v="914"/>
    <x v="2"/>
    <x v="626"/>
    <x v="1"/>
    <s v="Name 740"/>
    <x v="4"/>
    <s v="SSD 256 GB"/>
    <n v="4000"/>
    <n v="9"/>
    <n v="36000"/>
    <n v="3600"/>
  </r>
  <r>
    <n v="994"/>
    <x v="915"/>
    <x v="2"/>
    <x v="627"/>
    <x v="2"/>
    <s v="Name 741"/>
    <x v="0"/>
    <s v="HDD 256 GB"/>
    <n v="1500"/>
    <n v="3"/>
    <n v="4500"/>
    <n v="450"/>
  </r>
  <r>
    <n v="995"/>
    <x v="916"/>
    <x v="2"/>
    <x v="605"/>
    <x v="3"/>
    <s v="Name 719"/>
    <x v="1"/>
    <s v="Keyboard"/>
    <n v="210"/>
    <n v="9"/>
    <n v="1890"/>
    <n v="189"/>
  </r>
  <r>
    <n v="996"/>
    <x v="917"/>
    <x v="2"/>
    <x v="606"/>
    <x v="0"/>
    <s v="Name 720"/>
    <x v="2"/>
    <s v="SSD 256 GB"/>
    <n v="4000"/>
    <n v="3"/>
    <n v="12000"/>
    <n v="1200"/>
  </r>
  <r>
    <n v="997"/>
    <x v="918"/>
    <x v="2"/>
    <x v="607"/>
    <x v="1"/>
    <s v="Name 721"/>
    <x v="3"/>
    <s v="HDD 256 GB"/>
    <n v="3200"/>
    <n v="6"/>
    <n v="19200"/>
    <n v="1920"/>
  </r>
  <r>
    <n v="998"/>
    <x v="919"/>
    <x v="2"/>
    <x v="608"/>
    <x v="2"/>
    <s v="Name 722"/>
    <x v="4"/>
    <s v="Mouse"/>
    <n v="2900"/>
    <n v="4"/>
    <n v="11600"/>
    <n v="1160"/>
  </r>
  <r>
    <n v="999"/>
    <x v="920"/>
    <x v="2"/>
    <x v="609"/>
    <x v="1"/>
    <s v="Name 723"/>
    <x v="0"/>
    <s v="Monitor"/>
    <n v="190"/>
    <n v="9"/>
    <n v="1710"/>
    <n v="171"/>
  </r>
  <r>
    <n v="1000"/>
    <x v="921"/>
    <x v="2"/>
    <x v="610"/>
    <x v="2"/>
    <s v="Name 724"/>
    <x v="1"/>
    <s v="Printer"/>
    <n v="4000"/>
    <n v="7"/>
    <n v="28000"/>
    <n v="2800"/>
  </r>
  <r>
    <n v="1001"/>
    <x v="922"/>
    <x v="2"/>
    <x v="611"/>
    <x v="3"/>
    <s v="Name 725"/>
    <x v="2"/>
    <s v="Scanner"/>
    <n v="1500"/>
    <n v="4"/>
    <n v="6000"/>
    <n v="600"/>
  </r>
  <r>
    <n v="1002"/>
    <x v="923"/>
    <x v="2"/>
    <x v="612"/>
    <x v="0"/>
    <s v="Name 726"/>
    <x v="3"/>
    <s v="Keyboard"/>
    <n v="210"/>
    <n v="4"/>
    <n v="840"/>
    <n v="84"/>
  </r>
  <r>
    <n v="1003"/>
    <x v="924"/>
    <x v="2"/>
    <x v="613"/>
    <x v="1"/>
    <s v="Name 727"/>
    <x v="4"/>
    <s v="SSD 256 GB"/>
    <n v="4000"/>
    <n v="4"/>
    <n v="16000"/>
    <n v="1600"/>
  </r>
  <r>
    <n v="1004"/>
    <x v="925"/>
    <x v="2"/>
    <x v="614"/>
    <x v="2"/>
    <s v="Name 728"/>
    <x v="0"/>
    <s v="HDD 256 GB"/>
    <n v="3200"/>
    <n v="4"/>
    <n v="12800"/>
    <n v="1280"/>
  </r>
  <r>
    <n v="1005"/>
    <x v="926"/>
    <x v="2"/>
    <x v="615"/>
    <x v="1"/>
    <s v="Name 729"/>
    <x v="1"/>
    <s v="Mouse"/>
    <n v="2900"/>
    <n v="4"/>
    <n v="11600"/>
    <n v="1160"/>
  </r>
  <r>
    <n v="1006"/>
    <x v="927"/>
    <x v="2"/>
    <x v="616"/>
    <x v="2"/>
    <s v="Name 730"/>
    <x v="2"/>
    <s v="Monitor"/>
    <n v="190"/>
    <n v="4"/>
    <n v="760"/>
    <n v="76"/>
  </r>
  <r>
    <n v="1007"/>
    <x v="928"/>
    <x v="2"/>
    <x v="617"/>
    <x v="3"/>
    <s v="Name 731"/>
    <x v="3"/>
    <s v="Printer"/>
    <n v="4000"/>
    <n v="4"/>
    <n v="16000"/>
    <n v="1600"/>
  </r>
  <r>
    <n v="1008"/>
    <x v="929"/>
    <x v="2"/>
    <x v="618"/>
    <x v="0"/>
    <s v="Name 732"/>
    <x v="4"/>
    <s v="Scanner"/>
    <n v="1500"/>
    <n v="4"/>
    <n v="6000"/>
    <n v="600"/>
  </r>
  <r>
    <n v="1009"/>
    <x v="930"/>
    <x v="2"/>
    <x v="619"/>
    <x v="1"/>
    <s v="Name 733"/>
    <x v="0"/>
    <s v="Keyboard"/>
    <n v="210"/>
    <n v="4"/>
    <n v="840"/>
    <n v="84"/>
  </r>
  <r>
    <n v="1010"/>
    <x v="931"/>
    <x v="2"/>
    <x v="620"/>
    <x v="2"/>
    <s v="Name 734"/>
    <x v="1"/>
    <s v="SSD 256 GB"/>
    <n v="4000"/>
    <n v="4"/>
    <n v="16000"/>
    <n v="1600"/>
  </r>
  <r>
    <n v="1011"/>
    <x v="932"/>
    <x v="2"/>
    <x v="621"/>
    <x v="1"/>
    <s v="Name 735"/>
    <x v="2"/>
    <s v="HDD 256 GB"/>
    <n v="3200"/>
    <n v="4"/>
    <n v="12800"/>
    <n v="1280"/>
  </r>
  <r>
    <n v="1012"/>
    <x v="933"/>
    <x v="2"/>
    <x v="622"/>
    <x v="2"/>
    <s v="Name 736"/>
    <x v="3"/>
    <s v="Keyboard"/>
    <n v="2900"/>
    <n v="4"/>
    <n v="11600"/>
    <n v="1160"/>
  </r>
  <r>
    <n v="1013"/>
    <x v="934"/>
    <x v="2"/>
    <x v="623"/>
    <x v="3"/>
    <s v="Name 737"/>
    <x v="4"/>
    <s v="SSD 256 GB"/>
    <n v="190"/>
    <n v="4"/>
    <n v="760"/>
    <n v="76"/>
  </r>
  <r>
    <n v="1014"/>
    <x v="935"/>
    <x v="2"/>
    <x v="624"/>
    <x v="0"/>
    <s v="Name 738"/>
    <x v="0"/>
    <s v="HDD 256 GB"/>
    <n v="4000"/>
    <n v="1"/>
    <n v="4000"/>
    <n v="400"/>
  </r>
  <r>
    <n v="1015"/>
    <x v="936"/>
    <x v="2"/>
    <x v="625"/>
    <x v="1"/>
    <s v="Name 739"/>
    <x v="1"/>
    <s v="Keyboard"/>
    <n v="1500"/>
    <n v="1"/>
    <n v="1500"/>
    <n v="150"/>
  </r>
  <r>
    <n v="1016"/>
    <x v="937"/>
    <x v="2"/>
    <x v="626"/>
    <x v="2"/>
    <s v="Name 740"/>
    <x v="2"/>
    <s v="SSD 256 GB"/>
    <n v="210"/>
    <n v="1"/>
    <n v="210"/>
    <n v="21"/>
  </r>
  <r>
    <n v="1017"/>
    <x v="938"/>
    <x v="2"/>
    <x v="627"/>
    <x v="1"/>
    <s v="Name 741"/>
    <x v="3"/>
    <s v="HDD 256 GB"/>
    <n v="4000"/>
    <n v="1"/>
    <n v="4000"/>
    <n v="400"/>
  </r>
  <r>
    <n v="1018"/>
    <x v="939"/>
    <x v="2"/>
    <x v="605"/>
    <x v="2"/>
    <s v="Name 719"/>
    <x v="4"/>
    <s v="Keyboard"/>
    <n v="3200"/>
    <n v="1"/>
    <n v="3200"/>
    <n v="320"/>
  </r>
  <r>
    <n v="1019"/>
    <x v="940"/>
    <x v="2"/>
    <x v="606"/>
    <x v="3"/>
    <s v="Name 720"/>
    <x v="0"/>
    <s v="SSD 256 GB"/>
    <n v="2900"/>
    <n v="1"/>
    <n v="2900"/>
    <n v="290"/>
  </r>
  <r>
    <n v="1020"/>
    <x v="941"/>
    <x v="2"/>
    <x v="606"/>
    <x v="0"/>
    <s v="Name 721"/>
    <x v="1"/>
    <s v="HDD 256 GB"/>
    <n v="190"/>
    <n v="1"/>
    <n v="190"/>
    <n v="19"/>
  </r>
  <r>
    <n v="1029"/>
    <x v="942"/>
    <x v="2"/>
    <x v="616"/>
    <x v="1"/>
    <s v="Name 730"/>
    <x v="0"/>
    <s v="Monitor"/>
    <n v="1500"/>
    <n v="1"/>
    <n v="1500"/>
    <n v="150"/>
  </r>
  <r>
    <n v="1030"/>
    <x v="943"/>
    <x v="2"/>
    <x v="617"/>
    <x v="2"/>
    <s v="Name 731"/>
    <x v="1"/>
    <s v="Printer"/>
    <n v="210"/>
    <n v="1"/>
    <n v="210"/>
    <n v="21"/>
  </r>
  <r>
    <n v="1031"/>
    <x v="944"/>
    <x v="2"/>
    <x v="618"/>
    <x v="3"/>
    <s v="Name 732"/>
    <x v="2"/>
    <s v="Scanner"/>
    <n v="4000"/>
    <n v="1"/>
    <n v="4000"/>
    <n v="400"/>
  </r>
  <r>
    <n v="1032"/>
    <x v="945"/>
    <x v="2"/>
    <x v="619"/>
    <x v="0"/>
    <s v="Name 733"/>
    <x v="3"/>
    <s v="Keyboard"/>
    <n v="3200"/>
    <n v="1"/>
    <n v="3200"/>
    <n v="320"/>
  </r>
  <r>
    <n v="1033"/>
    <x v="946"/>
    <x v="2"/>
    <x v="620"/>
    <x v="1"/>
    <s v="Name 734"/>
    <x v="4"/>
    <s v="SSD 256 GB"/>
    <n v="2900"/>
    <n v="1"/>
    <n v="2900"/>
    <n v="290"/>
  </r>
  <r>
    <n v="1016"/>
    <x v="937"/>
    <x v="2"/>
    <x v="626"/>
    <x v="2"/>
    <s v="Name 740"/>
    <x v="2"/>
    <s v="SSD 256 GB"/>
    <n v="210"/>
    <n v="1"/>
    <n v="210"/>
    <n v="21"/>
  </r>
  <r>
    <n v="1017"/>
    <x v="938"/>
    <x v="2"/>
    <x v="627"/>
    <x v="1"/>
    <s v="Name 741"/>
    <x v="3"/>
    <s v="HDD 256 GB"/>
    <n v="4000"/>
    <n v="1"/>
    <n v="4000"/>
    <n v="400"/>
  </r>
  <r>
    <n v="1018"/>
    <x v="939"/>
    <x v="2"/>
    <x v="605"/>
    <x v="2"/>
    <s v="Name 719"/>
    <x v="4"/>
    <s v="Keyboard"/>
    <n v="3200"/>
    <n v="1"/>
    <n v="3200"/>
    <n v="320"/>
  </r>
  <r>
    <n v="1019"/>
    <x v="940"/>
    <x v="2"/>
    <x v="606"/>
    <x v="3"/>
    <s v="Name 720"/>
    <x v="0"/>
    <s v="SSD 256 GB"/>
    <n v="2900"/>
    <n v="1"/>
    <n v="2900"/>
    <n v="290"/>
  </r>
  <r>
    <n v="1020"/>
    <x v="941"/>
    <x v="2"/>
    <x v="606"/>
    <x v="0"/>
    <s v="Name 721"/>
    <x v="1"/>
    <s v="HDD 256 GB"/>
    <n v="190"/>
    <n v="1"/>
    <n v="190"/>
    <n v="19"/>
  </r>
  <r>
    <n v="1029"/>
    <x v="942"/>
    <x v="2"/>
    <x v="616"/>
    <x v="1"/>
    <s v="Name 730"/>
    <x v="0"/>
    <s v="Monitor"/>
    <n v="1500"/>
    <n v="1"/>
    <n v="1500"/>
    <n v="150"/>
  </r>
  <r>
    <n v="1030"/>
    <x v="943"/>
    <x v="2"/>
    <x v="617"/>
    <x v="2"/>
    <s v="Name 731"/>
    <x v="1"/>
    <s v="Printer"/>
    <n v="210"/>
    <n v="1"/>
    <n v="210"/>
    <n v="21"/>
  </r>
  <r>
    <n v="1031"/>
    <x v="944"/>
    <x v="2"/>
    <x v="618"/>
    <x v="3"/>
    <s v="Name 732"/>
    <x v="2"/>
    <s v="Scanner"/>
    <n v="4000"/>
    <n v="1"/>
    <n v="4000"/>
    <n v="400"/>
  </r>
  <r>
    <n v="1032"/>
    <x v="945"/>
    <x v="2"/>
    <x v="619"/>
    <x v="0"/>
    <s v="Name 733"/>
    <x v="3"/>
    <s v="Keyboard"/>
    <n v="3200"/>
    <n v="1"/>
    <n v="3200"/>
    <n v="320"/>
  </r>
  <r>
    <n v="1033"/>
    <x v="946"/>
    <x v="2"/>
    <x v="620"/>
    <x v="1"/>
    <s v="Name 734"/>
    <x v="4"/>
    <s v="SSD 256 GB"/>
    <n v="2900"/>
    <n v="1"/>
    <n v="2900"/>
    <n v="290"/>
  </r>
  <r>
    <n v="1016"/>
    <x v="947"/>
    <x v="2"/>
    <x v="626"/>
    <x v="2"/>
    <s v="Name 740"/>
    <x v="2"/>
    <s v="SSD 256 GB"/>
    <n v="210"/>
    <n v="1"/>
    <n v="210"/>
    <n v="21"/>
  </r>
  <r>
    <n v="1017"/>
    <x v="948"/>
    <x v="2"/>
    <x v="627"/>
    <x v="1"/>
    <s v="Name 741"/>
    <x v="3"/>
    <s v="HDD 256 GB"/>
    <n v="4000"/>
    <n v="1"/>
    <n v="4000"/>
    <n v="400"/>
  </r>
  <r>
    <n v="1018"/>
    <x v="949"/>
    <x v="2"/>
    <x v="605"/>
    <x v="2"/>
    <s v="Name 719"/>
    <x v="4"/>
    <s v="Keyboard"/>
    <n v="3200"/>
    <n v="1"/>
    <n v="3200"/>
    <n v="320"/>
  </r>
  <r>
    <n v="1019"/>
    <x v="950"/>
    <x v="2"/>
    <x v="606"/>
    <x v="3"/>
    <s v="Name 720"/>
    <x v="0"/>
    <s v="SSD 256 GB"/>
    <n v="2900"/>
    <n v="1"/>
    <n v="2900"/>
    <n v="290"/>
  </r>
  <r>
    <n v="1020"/>
    <x v="951"/>
    <x v="2"/>
    <x v="606"/>
    <x v="0"/>
    <s v="Name 721"/>
    <x v="1"/>
    <s v="HDD 256 GB"/>
    <n v="190"/>
    <n v="1"/>
    <n v="190"/>
    <n v="19"/>
  </r>
  <r>
    <n v="1029"/>
    <x v="952"/>
    <x v="2"/>
    <x v="616"/>
    <x v="1"/>
    <s v="Name 730"/>
    <x v="0"/>
    <s v="Monitor"/>
    <n v="1500"/>
    <n v="1"/>
    <n v="1500"/>
    <n v="150"/>
  </r>
  <r>
    <n v="1030"/>
    <x v="953"/>
    <x v="2"/>
    <x v="617"/>
    <x v="2"/>
    <s v="Name 731"/>
    <x v="1"/>
    <s v="Printer"/>
    <n v="210"/>
    <n v="1"/>
    <n v="210"/>
    <n v="21"/>
  </r>
  <r>
    <n v="1031"/>
    <x v="954"/>
    <x v="2"/>
    <x v="618"/>
    <x v="3"/>
    <s v="Name 732"/>
    <x v="2"/>
    <s v="Scanner"/>
    <n v="4000"/>
    <n v="1"/>
    <n v="4000"/>
    <n v="400"/>
  </r>
  <r>
    <n v="1032"/>
    <x v="955"/>
    <x v="2"/>
    <x v="619"/>
    <x v="0"/>
    <s v="Name 733"/>
    <x v="3"/>
    <s v="Keyboard"/>
    <n v="3200"/>
    <n v="1"/>
    <n v="3200"/>
    <n v="320"/>
  </r>
  <r>
    <n v="1033"/>
    <x v="956"/>
    <x v="2"/>
    <x v="620"/>
    <x v="1"/>
    <s v="Name 734"/>
    <x v="4"/>
    <s v="SSD 256 GB"/>
    <n v="2900"/>
    <n v="5"/>
    <n v="14500"/>
    <n v="1450"/>
  </r>
  <r>
    <n v="1016"/>
    <x v="957"/>
    <x v="2"/>
    <x v="626"/>
    <x v="2"/>
    <s v="Name 740"/>
    <x v="2"/>
    <s v="SSD 256 GB"/>
    <n v="210"/>
    <n v="5"/>
    <n v="1050"/>
    <n v="105"/>
  </r>
  <r>
    <n v="1017"/>
    <x v="958"/>
    <x v="2"/>
    <x v="627"/>
    <x v="1"/>
    <s v="Name 741"/>
    <x v="3"/>
    <s v="HDD 256 GB"/>
    <n v="4000"/>
    <n v="5"/>
    <n v="20000"/>
    <n v="2000"/>
  </r>
  <r>
    <n v="1018"/>
    <x v="959"/>
    <x v="2"/>
    <x v="605"/>
    <x v="2"/>
    <s v="Name 719"/>
    <x v="4"/>
    <s v="Keyboard"/>
    <n v="3200"/>
    <n v="5"/>
    <n v="16000"/>
    <n v="1600"/>
  </r>
  <r>
    <n v="1019"/>
    <x v="960"/>
    <x v="2"/>
    <x v="606"/>
    <x v="3"/>
    <s v="Name 720"/>
    <x v="0"/>
    <s v="SSD 256 GB"/>
    <n v="2900"/>
    <n v="5"/>
    <n v="14500"/>
    <n v="1450"/>
  </r>
  <r>
    <n v="1020"/>
    <x v="961"/>
    <x v="2"/>
    <x v="606"/>
    <x v="0"/>
    <s v="Name 721"/>
    <x v="1"/>
    <s v="HDD 256 GB"/>
    <n v="190"/>
    <n v="5"/>
    <n v="950"/>
    <n v="95"/>
  </r>
  <r>
    <n v="1029"/>
    <x v="962"/>
    <x v="2"/>
    <x v="616"/>
    <x v="1"/>
    <s v="Name 730"/>
    <x v="0"/>
    <s v="Monitor"/>
    <n v="1500"/>
    <n v="5"/>
    <n v="7500"/>
    <n v="750"/>
  </r>
  <r>
    <n v="1030"/>
    <x v="963"/>
    <x v="2"/>
    <x v="617"/>
    <x v="2"/>
    <s v="Name 731"/>
    <x v="1"/>
    <s v="Printer"/>
    <n v="210"/>
    <n v="5"/>
    <n v="1050"/>
    <n v="105"/>
  </r>
  <r>
    <n v="1031"/>
    <x v="964"/>
    <x v="2"/>
    <x v="618"/>
    <x v="3"/>
    <s v="Name 732"/>
    <x v="2"/>
    <s v="Scanner"/>
    <n v="4000"/>
    <n v="5"/>
    <n v="20000"/>
    <n v="2000"/>
  </r>
  <r>
    <n v="1032"/>
    <x v="965"/>
    <x v="2"/>
    <x v="619"/>
    <x v="0"/>
    <s v="Name 733"/>
    <x v="3"/>
    <s v="Keyboard"/>
    <n v="3200"/>
    <n v="5"/>
    <n v="16000"/>
    <n v="1600"/>
  </r>
  <r>
    <n v="1033"/>
    <x v="966"/>
    <x v="2"/>
    <x v="620"/>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B0CDA-ED09-4F92-88EF-752800E622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items count="6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t="default"/>
      </items>
    </pivotField>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Qty" fld="9" baseField="0" baseItem="0" numFmtId="1"/>
    <dataField name="Sum of Amount" fld="10" baseField="0" baseItem="0" numFmtId="164"/>
    <dataField name="Sum of Profit 10%" fld="11" baseField="0" baseItem="0" numFmtId="164"/>
  </dataFields>
  <formats count="3">
    <format dxfId="18">
      <pivotArea collapsedLevelsAreSubtotals="1" fieldPosition="0">
        <references count="2">
          <reference field="4294967294" count="1" selected="0">
            <x v="3"/>
          </reference>
          <reference field="12" count="1">
            <x v="2"/>
          </reference>
        </references>
      </pivotArea>
    </format>
    <format dxfId="17">
      <pivotArea field="12" grandRow="1" outline="0" collapsedLevelsAreSubtotals="1" axis="axisRow" fieldPosition="0">
        <references count="1">
          <reference field="4294967294" count="1" selected="0">
            <x v="3"/>
          </reference>
        </references>
      </pivotArea>
    </format>
    <format dxfId="16">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D64C0-309A-4B15-9502-1555696446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H1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items count="6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t="default"/>
      </items>
    </pivotField>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4C356-F010-4AB8-81D9-D69EA58E2D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items count="6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t="default"/>
      </items>
    </pivotField>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9400F-8C98-4393-A059-8BE6D875BC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items count="6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t="default"/>
      </items>
    </pivotField>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3BD2E9-5EAF-452B-83F5-AAE550C742EC}" sourceName="Region">
  <pivotTables>
    <pivotTable tabId="3" name="PivotTable5"/>
    <pivotTable tabId="3" name="PivotTable1"/>
    <pivotTable tabId="3" name="PivotTable2"/>
    <pivotTable tabId="3" name="PivotTable8"/>
  </pivotTables>
  <data>
    <tabular pivotCacheId="5328434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A5B448-172B-4FA3-8F87-A1AB9CB96DCF}" sourceName="Category">
  <pivotTables>
    <pivotTable tabId="3" name="PivotTable5"/>
    <pivotTable tabId="3" name="PivotTable1"/>
    <pivotTable tabId="3" name="PivotTable2"/>
    <pivotTable tabId="3" name="PivotTable8"/>
  </pivotTables>
  <data>
    <tabular pivotCacheId="53284345">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A7B0F2-359D-48CB-9987-15C3869A2C97}" sourceName="Year">
  <pivotTables>
    <pivotTable tabId="3" name="PivotTable5"/>
    <pivotTable tabId="3" name="PivotTable1"/>
    <pivotTable tabId="3" name="PivotTable2"/>
    <pivotTable tabId="3" name="PivotTable8"/>
  </pivotTables>
  <data>
    <tabular pivotCacheId="5328434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B6B688-D1E8-44FE-B1D8-3D384A42A997}" cache="Slicer_Region" caption="Region" columnCount="2" style="SlicerStyleDark1" rowHeight="234950"/>
  <slicer name="Category" xr10:uid="{F1886AAE-334D-487F-9097-D7A2152986B9}" cache="Slicer_Category" caption="Category" style="SlicerStyleDark1 2" rowHeight="234950"/>
  <slicer name="Year" xr10:uid="{23C540CE-31F8-4EBB-BDB5-84EDF0AB3359}" cache="Slicer_Year" caption="Year" columnCount="3"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5" headerRowBorderDxfId="14" tableBorderDxfId="13" totalsRowBorderDxfId="12">
  <autoFilter ref="A1:L982" xr:uid="{E19AB663-728B-44F6-985E-1D8C95121989}"/>
  <tableColumns count="12">
    <tableColumn id="1" xr3:uid="{8A263E07-6562-4FDE-8CF1-ABB102B41B8C}" name="Order id" dataDxfId="11"/>
    <tableColumn id="2" xr3:uid="{4C79B0CB-5C3D-4862-99DF-9C04124C4644}" name="Order Date" dataDxfId="10"/>
    <tableColumn id="12" xr3:uid="{70D4102A-D594-494C-A8A0-DDEC2FBC4B49}" name="Year" dataDxfId="9"/>
    <tableColumn id="5" xr3:uid="{3EAD1D59-D1A0-46DF-89AB-60CB0FBB0E3E}" name="Cust ID" dataDxfId="8"/>
    <tableColumn id="4" xr3:uid="{73EC9212-AEC7-4A4D-AFC3-DA0360C3979C}" name="Region" dataDxfId="7"/>
    <tableColumn id="6" xr3:uid="{6DF3B24F-0E5E-40FC-B84A-676B5B7DC2BC}" name="Cust Name" dataDxfId="6"/>
    <tableColumn id="7" xr3:uid="{FD101823-19FE-4295-B68A-7EC142A170E4}" name="Category" dataDxfId="5"/>
    <tableColumn id="8" xr3:uid="{F5F8C87A-2D23-4545-8E76-D384637BE990}" name="Product" dataDxfId="4"/>
    <tableColumn id="9" xr3:uid="{B49C350A-3D11-4AC5-9D48-2AF360002573}" name="Price" dataDxfId="3"/>
    <tableColumn id="10" xr3:uid="{59CABBCF-7E24-4C66-8E23-0B1C0716D785}" name="Qty" dataDxfId="2"/>
    <tableColumn id="11" xr3:uid="{06B1E381-CA97-44FD-B887-048CF50AD965}" name="Amount" dataDxfId="1">
      <calculatedColumnFormula>I2*J2</calculatedColumnFormula>
    </tableColumn>
    <tableColumn id="3" xr3:uid="{C4CB82B3-DA29-450F-B86A-E6D660E55A22}" name="Profit 10%" dataDxfId="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3AF8C-138E-45F7-B780-0ED6D645BB66}">
  <dimension ref="A3:K24"/>
  <sheetViews>
    <sheetView showGridLines="0" topLeftCell="I13" workbookViewId="0">
      <selection activeCell="J4" sqref="J4:K7"/>
    </sheetView>
  </sheetViews>
  <sheetFormatPr defaultRowHeight="14.4" x14ac:dyDescent="0.3"/>
  <cols>
    <col min="1" max="1" width="12.5546875" bestFit="1" customWidth="1"/>
    <col min="2" max="2" width="15.6640625" customWidth="1"/>
    <col min="3" max="3" width="10.44140625" customWidth="1"/>
    <col min="4" max="4" width="14.44140625" customWidth="1"/>
    <col min="5" max="5" width="16.109375" bestFit="1" customWidth="1"/>
    <col min="6" max="6" width="6.88671875" customWidth="1"/>
    <col min="7" max="7" width="12.5546875" bestFit="1" customWidth="1"/>
    <col min="8" max="8" width="10.44140625" bestFit="1" customWidth="1"/>
    <col min="9" max="9" width="7.6640625" customWidth="1"/>
    <col min="10" max="10" width="12.5546875" bestFit="1" customWidth="1"/>
    <col min="11" max="11" width="14.44140625" bestFit="1" customWidth="1"/>
  </cols>
  <sheetData>
    <row r="3" spans="1:11" x14ac:dyDescent="0.3">
      <c r="A3" s="13" t="s">
        <v>1319</v>
      </c>
      <c r="B3" t="s">
        <v>1337</v>
      </c>
      <c r="C3" t="s">
        <v>1338</v>
      </c>
      <c r="D3" t="s">
        <v>1339</v>
      </c>
      <c r="E3" t="s">
        <v>1340</v>
      </c>
      <c r="G3" s="13" t="s">
        <v>1319</v>
      </c>
      <c r="H3" t="s">
        <v>1339</v>
      </c>
      <c r="J3" s="13" t="s">
        <v>1319</v>
      </c>
      <c r="K3" t="s">
        <v>1339</v>
      </c>
    </row>
    <row r="4" spans="1:11" x14ac:dyDescent="0.3">
      <c r="A4" s="14" t="s">
        <v>1325</v>
      </c>
      <c r="B4">
        <v>86</v>
      </c>
      <c r="C4" s="15">
        <v>399</v>
      </c>
      <c r="D4" s="16">
        <v>880260</v>
      </c>
      <c r="E4" s="16">
        <v>88026</v>
      </c>
      <c r="G4" s="14" t="s">
        <v>1321</v>
      </c>
      <c r="H4" s="15">
        <v>2414032</v>
      </c>
      <c r="J4" s="14" t="s">
        <v>25</v>
      </c>
      <c r="K4" s="15">
        <v>1974370</v>
      </c>
    </row>
    <row r="5" spans="1:11" x14ac:dyDescent="0.3">
      <c r="A5" s="14" t="s">
        <v>1326</v>
      </c>
      <c r="B5">
        <v>81</v>
      </c>
      <c r="C5" s="15">
        <v>307.8</v>
      </c>
      <c r="D5" s="16">
        <v>696422</v>
      </c>
      <c r="E5" s="16">
        <v>69642.2</v>
      </c>
      <c r="G5" s="14" t="s">
        <v>1322</v>
      </c>
      <c r="H5" s="15">
        <v>2368180</v>
      </c>
      <c r="J5" s="14" t="s">
        <v>15</v>
      </c>
      <c r="K5" s="15">
        <v>1677384</v>
      </c>
    </row>
    <row r="6" spans="1:11" x14ac:dyDescent="0.3">
      <c r="A6" s="14" t="s">
        <v>1327</v>
      </c>
      <c r="B6">
        <v>92</v>
      </c>
      <c r="C6" s="15">
        <v>370</v>
      </c>
      <c r="D6" s="16">
        <v>837350</v>
      </c>
      <c r="E6" s="16">
        <v>83735</v>
      </c>
      <c r="G6" s="14" t="s">
        <v>1323</v>
      </c>
      <c r="H6" s="15">
        <v>3095380</v>
      </c>
      <c r="J6" s="14" t="s">
        <v>20</v>
      </c>
      <c r="K6" s="15">
        <v>1999150</v>
      </c>
    </row>
    <row r="7" spans="1:11" x14ac:dyDescent="0.3">
      <c r="A7" s="14" t="s">
        <v>1328</v>
      </c>
      <c r="B7">
        <v>86</v>
      </c>
      <c r="C7" s="15">
        <v>339</v>
      </c>
      <c r="D7" s="16">
        <v>837920</v>
      </c>
      <c r="E7" s="16">
        <v>83792</v>
      </c>
      <c r="G7" s="14" t="s">
        <v>1324</v>
      </c>
      <c r="H7" s="15">
        <v>1965450</v>
      </c>
      <c r="J7" s="14" t="s">
        <v>33</v>
      </c>
      <c r="K7" s="15">
        <v>2175180</v>
      </c>
    </row>
    <row r="8" spans="1:11" x14ac:dyDescent="0.3">
      <c r="A8" s="14" t="s">
        <v>1329</v>
      </c>
      <c r="B8">
        <v>89</v>
      </c>
      <c r="C8" s="15">
        <v>307</v>
      </c>
      <c r="D8" s="16">
        <v>653680</v>
      </c>
      <c r="E8" s="16">
        <v>65368</v>
      </c>
      <c r="G8" s="14" t="s">
        <v>1320</v>
      </c>
      <c r="H8" s="15">
        <v>9843042</v>
      </c>
      <c r="J8" s="14" t="s">
        <v>29</v>
      </c>
      <c r="K8" s="15">
        <v>2016958</v>
      </c>
    </row>
    <row r="9" spans="1:11" x14ac:dyDescent="0.3">
      <c r="A9" s="14" t="s">
        <v>1330</v>
      </c>
      <c r="B9">
        <v>90</v>
      </c>
      <c r="C9" s="15">
        <v>383</v>
      </c>
      <c r="D9" s="16">
        <v>876580</v>
      </c>
      <c r="E9" s="16">
        <v>87658</v>
      </c>
      <c r="J9" s="14" t="s">
        <v>1320</v>
      </c>
      <c r="K9" s="15">
        <v>9843042</v>
      </c>
    </row>
    <row r="10" spans="1:11" x14ac:dyDescent="0.3">
      <c r="A10" s="14" t="s">
        <v>1331</v>
      </c>
      <c r="B10">
        <v>88</v>
      </c>
      <c r="C10" s="15">
        <v>514</v>
      </c>
      <c r="D10" s="16">
        <v>1181320</v>
      </c>
      <c r="E10" s="16">
        <v>118132</v>
      </c>
    </row>
    <row r="11" spans="1:11" x14ac:dyDescent="0.3">
      <c r="A11" s="14" t="s">
        <v>1332</v>
      </c>
      <c r="B11">
        <v>81</v>
      </c>
      <c r="C11" s="15">
        <v>386</v>
      </c>
      <c r="D11" s="16">
        <v>917730</v>
      </c>
      <c r="E11" s="16">
        <v>91773</v>
      </c>
    </row>
    <row r="12" spans="1:11" x14ac:dyDescent="0.3">
      <c r="A12" s="14" t="s">
        <v>1333</v>
      </c>
      <c r="B12">
        <v>82</v>
      </c>
      <c r="C12" s="15">
        <v>443</v>
      </c>
      <c r="D12" s="16">
        <v>996330</v>
      </c>
      <c r="E12" s="16">
        <v>99633</v>
      </c>
      <c r="G12" s="13" t="s">
        <v>1319</v>
      </c>
      <c r="H12" t="s">
        <v>1338</v>
      </c>
      <c r="J12" s="14" t="s">
        <v>25</v>
      </c>
      <c r="K12" s="16">
        <f>GETPIVOTDATA("Amount",$J$3,"Category",J4)</f>
        <v>1974370</v>
      </c>
    </row>
    <row r="13" spans="1:11" x14ac:dyDescent="0.3">
      <c r="A13" s="14" t="s">
        <v>1334</v>
      </c>
      <c r="B13">
        <v>86</v>
      </c>
      <c r="C13" s="15">
        <v>313</v>
      </c>
      <c r="D13" s="16">
        <v>668480</v>
      </c>
      <c r="E13" s="16">
        <v>66848</v>
      </c>
      <c r="G13" s="14" t="s">
        <v>25</v>
      </c>
      <c r="H13" s="15">
        <v>857.4</v>
      </c>
      <c r="J13" s="14" t="s">
        <v>15</v>
      </c>
      <c r="K13" s="16">
        <f t="shared" ref="K13:K16" si="0">GETPIVOTDATA("Amount",$J$3,"Category",J5)</f>
        <v>1677384</v>
      </c>
    </row>
    <row r="14" spans="1:11" x14ac:dyDescent="0.3">
      <c r="A14" s="14" t="s">
        <v>1335</v>
      </c>
      <c r="B14">
        <v>56</v>
      </c>
      <c r="C14" s="15">
        <v>255</v>
      </c>
      <c r="D14" s="16">
        <v>560120</v>
      </c>
      <c r="E14" s="16">
        <v>56012</v>
      </c>
      <c r="G14" s="14" t="s">
        <v>15</v>
      </c>
      <c r="H14" s="15">
        <v>821.6</v>
      </c>
      <c r="J14" s="14" t="s">
        <v>20</v>
      </c>
      <c r="K14" s="16">
        <f t="shared" si="0"/>
        <v>1999150</v>
      </c>
    </row>
    <row r="15" spans="1:11" x14ac:dyDescent="0.3">
      <c r="A15" s="14" t="s">
        <v>1336</v>
      </c>
      <c r="B15">
        <v>64</v>
      </c>
      <c r="C15" s="15">
        <v>263</v>
      </c>
      <c r="D15" s="16">
        <v>736850</v>
      </c>
      <c r="E15" s="16">
        <v>73685</v>
      </c>
      <c r="G15" s="14" t="s">
        <v>20</v>
      </c>
      <c r="H15" s="15">
        <v>870</v>
      </c>
      <c r="J15" s="14" t="s">
        <v>33</v>
      </c>
      <c r="K15" s="16">
        <f t="shared" si="0"/>
        <v>2175180</v>
      </c>
    </row>
    <row r="16" spans="1:11" x14ac:dyDescent="0.3">
      <c r="A16" s="14" t="s">
        <v>1320</v>
      </c>
      <c r="B16">
        <v>981</v>
      </c>
      <c r="C16" s="15">
        <v>4279.8</v>
      </c>
      <c r="D16" s="16">
        <v>9843042</v>
      </c>
      <c r="E16" s="16">
        <v>984304.2</v>
      </c>
      <c r="G16" s="14" t="s">
        <v>33</v>
      </c>
      <c r="H16" s="15">
        <v>842.2</v>
      </c>
      <c r="J16" s="14" t="s">
        <v>29</v>
      </c>
      <c r="K16" s="16">
        <f t="shared" si="0"/>
        <v>2016958</v>
      </c>
    </row>
    <row r="17" spans="2:11" x14ac:dyDescent="0.3">
      <c r="D17" s="16"/>
      <c r="E17" s="16"/>
      <c r="G17" s="14" t="s">
        <v>29</v>
      </c>
      <c r="H17" s="15">
        <v>888.6</v>
      </c>
      <c r="J17" s="17" t="s">
        <v>1320</v>
      </c>
      <c r="K17" s="16">
        <f>SUM(K12:K16)</f>
        <v>9843042</v>
      </c>
    </row>
    <row r="18" spans="2:11" x14ac:dyDescent="0.3">
      <c r="B18">
        <f>GETPIVOTDATA("Count of Order id",$A$3)</f>
        <v>981</v>
      </c>
      <c r="C18" s="15">
        <f>GETPIVOTDATA("Sum of Qty",$A$3)</f>
        <v>4279.8</v>
      </c>
      <c r="D18" s="16">
        <f>GETPIVOTDATA("Sum of Amount",$A$3)</f>
        <v>9843042</v>
      </c>
      <c r="E18" s="16">
        <f>GETPIVOTDATA("Sum of Profit 10%",$A$3)</f>
        <v>984304.2</v>
      </c>
      <c r="G18" s="14" t="s">
        <v>1320</v>
      </c>
      <c r="H18" s="15">
        <v>4279.8</v>
      </c>
    </row>
    <row r="20" spans="2:11" ht="29.4" customHeight="1" x14ac:dyDescent="0.3">
      <c r="G20" s="14" t="s">
        <v>25</v>
      </c>
      <c r="H20" s="15">
        <f>GETPIVOTDATA("Qty",$G$12,"Category",G13)</f>
        <v>857.4</v>
      </c>
    </row>
    <row r="21" spans="2:11" x14ac:dyDescent="0.3">
      <c r="G21" s="14" t="s">
        <v>15</v>
      </c>
      <c r="H21" s="15">
        <f t="shared" ref="H21:H24" si="1">GETPIVOTDATA("Qty",$G$12,"Category",G14)</f>
        <v>821.6</v>
      </c>
    </row>
    <row r="22" spans="2:11" x14ac:dyDescent="0.3">
      <c r="G22" s="14" t="s">
        <v>20</v>
      </c>
      <c r="H22">
        <f t="shared" si="1"/>
        <v>870</v>
      </c>
    </row>
    <row r="23" spans="2:11" x14ac:dyDescent="0.3">
      <c r="G23" s="14" t="s">
        <v>33</v>
      </c>
      <c r="H23" s="15">
        <f t="shared" si="1"/>
        <v>842.2</v>
      </c>
    </row>
    <row r="24" spans="2:11" x14ac:dyDescent="0.3">
      <c r="G24" s="14" t="s">
        <v>29</v>
      </c>
      <c r="H24" s="15">
        <f t="shared" si="1"/>
        <v>888.6</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FC27E94E-7F89-4DA7-B3AD-56493B39D1EE}">
          <x14:colorSeries rgb="FF376092"/>
          <x14:colorNegative rgb="FFD00000"/>
          <x14:colorAxis rgb="FF000000"/>
          <x14:colorMarkers rgb="FFD00000"/>
          <x14:colorFirst rgb="FFD00000"/>
          <x14:colorLast rgb="FFD00000"/>
          <x14:colorHigh theme="9"/>
          <x14:colorLow rgb="FFD00000"/>
          <x14:sparklines>
            <x14:sparkline>
              <xm:f>Sheet3!B4:B15</xm:f>
              <xm:sqref>B20</xm:sqref>
            </x14:sparkline>
            <x14:sparkline>
              <xm:f>Sheet3!C4:C15</xm:f>
              <xm:sqref>C20</xm:sqref>
            </x14:sparkline>
            <x14:sparkline>
              <xm:f>Sheet3!D4:D15</xm:f>
              <xm:sqref>D20</xm:sqref>
            </x14:sparkline>
            <x14:sparkline>
              <xm:f>Sheet3!E4:E15</xm:f>
              <xm:sqref>E20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160" zoomScaleNormal="160" workbookViewId="0">
      <selection activeCell="I1" sqref="I1"/>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4F61-CD5F-48F6-9CC8-6BACC0890BCD}">
  <dimension ref="A1"/>
  <sheetViews>
    <sheetView showGridLines="0" showRowColHeaders="0" tabSelected="1" workbookViewId="0">
      <selection activeCell="A8" sqref="A8"/>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Robin Negi</cp:lastModifiedBy>
  <dcterms:created xsi:type="dcterms:W3CDTF">2022-11-14T04:15:02Z</dcterms:created>
  <dcterms:modified xsi:type="dcterms:W3CDTF">2025-02-16T06:16:36Z</dcterms:modified>
</cp:coreProperties>
</file>